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sset Register" sheetId="2" state="visible" r:id="rId4"/>
    <sheet name="Risk Register" sheetId="3" state="visible" r:id="rId5"/>
    <sheet name="Heat Map" sheetId="4" state="visible" r:id="rId6"/>
    <sheet name="Control Gap Assessment" sheetId="5" state="visible" r:id="rId7"/>
    <sheet name="Vendor Tiering" sheetId="6" state="visible" r:id="rId8"/>
  </sheets>
  <definedNames>
    <definedName function="false" hidden="true" localSheetId="2" name="_xlnm._FilterDatabase" vbProcedure="false">'Risk Register'!$A$4:$U$24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<sst xmlns="http://schemas.openxmlformats.org/spreadsheetml/2006/main" count="565" uniqueCount="413">
  <si>
    <t xml:space="preserve">Riverside Medical Center: Information Security Risk Assessment</t>
  </si>
  <si>
    <t xml:space="preserve">Risk register, control gap assessment, and vendor tiering. Riverside is a fictional organization created for a portfolio project.</t>
  </si>
  <si>
    <t xml:space="preserve">Assessment period: September 2026  |  Methodology: NIST SP 800-30 Rev. 1  |  Control frameworks: HIPAA Security Rule (45 CFR Part 164 Subpart C), NIST CSF 2.0, HHS 405(d) HICP</t>
  </si>
  <si>
    <t xml:space="preserve">How to use this workbook</t>
  </si>
  <si>
    <t xml:space="preserve">1. Asset Register: assets and Criticality/Vulnerability scores carried over from the 'Beyond Our Walls' TPRM presentation (ESRM Steps 1-2).</t>
  </si>
  <si>
    <t xml:space="preserve">2. Risk Register: each risk scored for Likelihood (1-5) and Impact (1-5). Score and rating calculate automatically. Blank rows at the bottom are ready for new risks.</t>
  </si>
  <si>
    <t xml:space="preserve">3. Heat Map: counts of risks in each Likelihood x Impact cell, before (inherent) and after (residual) treatment. Updates automatically.</t>
  </si>
  <si>
    <t xml:space="preserve">4. Control Gap Assessment: key safeguards mapped to HIPAA, NIST CSF 2.0, and HICP, with current implementation status.</t>
  </si>
  <si>
    <t xml:space="preserve">5. Vendor Tiering: sample vendors scored on four criteria; tier and monitoring requirement calculate automatically.</t>
  </si>
  <si>
    <t xml:space="preserve">Legend</t>
  </si>
  <si>
    <t xml:space="preserve">Blue text</t>
  </si>
  <si>
    <t xml:space="preserve">Input you can edit (scores, statuses, text)</t>
  </si>
  <si>
    <t xml:space="preserve">Black text</t>
  </si>
  <si>
    <t xml:space="preserve">Formula: calculates automatically, do not overwrite</t>
  </si>
  <si>
    <t xml:space="preserve">Yellow fill</t>
  </si>
  <si>
    <t xml:space="preserve">Threshold settings that drive the formulas</t>
  </si>
  <si>
    <t xml:space="preserve">Likelihood scale (probability the risk occurs within 12 months)</t>
  </si>
  <si>
    <t xml:space="preserve">Score</t>
  </si>
  <si>
    <t xml:space="preserve">Level</t>
  </si>
  <si>
    <t xml:space="preserve">Definition</t>
  </si>
  <si>
    <t xml:space="preserve">Rare</t>
  </si>
  <si>
    <t xml:space="preserve">Not expected; no known precedent in the sector</t>
  </si>
  <si>
    <t xml:space="preserve">Unlikely</t>
  </si>
  <si>
    <t xml:space="preserve">Could occur; limited sector precedent</t>
  </si>
  <si>
    <t xml:space="preserve">Possible</t>
  </si>
  <si>
    <t xml:space="preserve">Has occurred at comparable hospitals; controls partially effective</t>
  </si>
  <si>
    <t xml:space="preserve">Likely</t>
  </si>
  <si>
    <t xml:space="preserve">Occurs regularly across the sector; controls weak or unverified</t>
  </si>
  <si>
    <t xml:space="preserve">Almost Certain</t>
  </si>
  <si>
    <t xml:space="preserve">Actively exploited in healthcare now; no effective control in place</t>
  </si>
  <si>
    <t xml:space="preserve">Impact scale (worst credible effect on Riverside)</t>
  </si>
  <si>
    <t xml:space="preserve">Negligible</t>
  </si>
  <si>
    <t xml:space="preserve">No PHI exposure; no care disruption; cost under $10K</t>
  </si>
  <si>
    <t xml:space="preserve">Minor</t>
  </si>
  <si>
    <t xml:space="preserve">Limited PHI (&lt;500 records); brief disruption of a non-clinical function</t>
  </si>
  <si>
    <t xml:space="preserve">Moderate</t>
  </si>
  <si>
    <t xml:space="preserve">Reportable breach (500+ records) or one-day disruption of a clinical or revenue function</t>
  </si>
  <si>
    <t xml:space="preserve">Major</t>
  </si>
  <si>
    <t xml:space="preserve">Multi-day disruption to clinical care or revenue cycle; regulatory investigation likely</t>
  </si>
  <si>
    <t xml:space="preserve">Severe</t>
  </si>
  <si>
    <t xml:space="preserve">Patient harm possible; weeks-long outage or large-scale breach; major penalties and lasting reputational damage</t>
  </si>
  <si>
    <t xml:space="preserve">Risk rating thresholds (Score = Likelihood x Impact)</t>
  </si>
  <si>
    <t xml:space="preserve">Minimum score</t>
  </si>
  <si>
    <t xml:space="preserve">Rating</t>
  </si>
  <si>
    <t xml:space="preserve">Required response</t>
  </si>
  <si>
    <t xml:space="preserve">Critical</t>
  </si>
  <si>
    <t xml:space="preserve">Treat immediately; executive owner; report to board</t>
  </si>
  <si>
    <t xml:space="preserve">High</t>
  </si>
  <si>
    <t xml:space="preserve">Treatment plan within 30 days; tracked by governance subcommittee</t>
  </si>
  <si>
    <t xml:space="preserve">Medium</t>
  </si>
  <si>
    <t xml:space="preserve">Treat within 12 months or formally accept</t>
  </si>
  <si>
    <t xml:space="preserve">Low</t>
  </si>
  <si>
    <t xml:space="preserve">Monitor; may be accepted by risk owner</t>
  </si>
  <si>
    <t xml:space="preserve">Vendor tier thresholds (Total of four criteria, max 12)</t>
  </si>
  <si>
    <t xml:space="preserve">Minimum total</t>
  </si>
  <si>
    <t xml:space="preserve">Tier</t>
  </si>
  <si>
    <t xml:space="preserve">Monitoring requirement</t>
  </si>
  <si>
    <t xml:space="preserve">Continuous monitoring + annual on-site/virtual audit + SOC 2 Type II or HITRUST</t>
  </si>
  <si>
    <t xml:space="preserve">Continuous monitoring + annual evidence review</t>
  </si>
  <si>
    <t xml:space="preserve">Continuous monitoring from Phase 3 + annual questionnaire</t>
  </si>
  <si>
    <t xml:space="preserve">Questionnaire at onboarding and renewal</t>
  </si>
  <si>
    <t xml:space="preserve">Asset Register (ESRM Steps 1-2)</t>
  </si>
  <si>
    <t xml:space="preserve">Source: Criticality and Vulnerability scores (1-10) from the author's 'Beyond Our Walls' TPRM presentation, slide 5.</t>
  </si>
  <si>
    <t xml:space="preserve">Asset ID</t>
  </si>
  <si>
    <t xml:space="preserve">Asset</t>
  </si>
  <si>
    <t xml:space="preserve">Description</t>
  </si>
  <si>
    <t xml:space="preserve">Asset Owner</t>
  </si>
  <si>
    <t xml:space="preserve">Criticality (1-10)</t>
  </si>
  <si>
    <t xml:space="preserve">Vulnerability (1-10)</t>
  </si>
  <si>
    <t xml:space="preserve">Priority Score</t>
  </si>
  <si>
    <t xml:space="preserve">Priority Rank</t>
  </si>
  <si>
    <t xml:space="preserve">A1</t>
  </si>
  <si>
    <t xml:space="preserve">Claims, Billing &amp; Clinical Data Systems</t>
  </si>
  <si>
    <t xml:space="preserve">EHR, revenue-cycle, and claims/e-prescribing systems reachable through 1,300+ vendor relationships</t>
  </si>
  <si>
    <t xml:space="preserve">CIO</t>
  </si>
  <si>
    <t xml:space="preserve">A2</t>
  </si>
  <si>
    <t xml:space="preserve">Controlled-Substance Inventory</t>
  </si>
  <si>
    <t xml:space="preserve">Opioids and benzodiazepines managed via 12 Automated Dispensing Cabinets</t>
  </si>
  <si>
    <t xml:space="preserve">Director of Pharmacy</t>
  </si>
  <si>
    <t xml:space="preserve">A3</t>
  </si>
  <si>
    <t xml:space="preserve">Blood Bank &amp; Biologics</t>
  </si>
  <si>
    <t xml:space="preserve">On-site blood product storage supporting surgery and trauma care</t>
  </si>
  <si>
    <t xml:space="preserve">Laboratory Director</t>
  </si>
  <si>
    <t xml:space="preserve">A4</t>
  </si>
  <si>
    <t xml:space="preserve">Radioactive Materials</t>
  </si>
  <si>
    <t xml:space="preserve">Nuclear-medicine and oncology sealed sources and isotopes</t>
  </si>
  <si>
    <t xml:space="preserve">Radiation Safety Officer</t>
  </si>
  <si>
    <t xml:space="preserve">A5</t>
  </si>
  <si>
    <t xml:space="preserve">Physical Campus &amp; Infrastructure</t>
  </si>
  <si>
    <t xml:space="preserve">Power, medical gas, HVAC, and network backbone supporting the main campus</t>
  </si>
  <si>
    <t xml:space="preserve">VP Facilities</t>
  </si>
  <si>
    <t xml:space="preserve">A6</t>
  </si>
  <si>
    <t xml:space="preserve">Workforce &amp; Key Personnel</t>
  </si>
  <si>
    <t xml:space="preserve">Clinical staff and physicians whose availability and safety are mission-critical</t>
  </si>
  <si>
    <t xml:space="preserve">Chief Human Resources Officer</t>
  </si>
  <si>
    <t xml:space="preserve">A7</t>
  </si>
  <si>
    <t xml:space="preserve">Brand Reputation &amp; Patient Trust</t>
  </si>
  <si>
    <t xml:space="preserve">Community standing and patient confidence in Riverside's care</t>
  </si>
  <si>
    <t xml:space="preserve">Chief Communications Officer</t>
  </si>
  <si>
    <t xml:space="preserve">A8</t>
  </si>
  <si>
    <t xml:space="preserve">Medical Device &amp; IoT Fleet</t>
  </si>
  <si>
    <t xml:space="preserve">Imaging, infusion pumps, and monitors remotely serviced and patched by device vendors</t>
  </si>
  <si>
    <t xml:space="preserve">Director of Biomedical Engineering</t>
  </si>
  <si>
    <t xml:space="preserve">Risk Register</t>
  </si>
  <si>
    <t xml:space="preserve">Inherent = risk with current controls only. Residual = expected risk after the recommended controls are fully implemented. Target dates align with the TPRM program phases (Phase 1: Nov 2026, Phase 2: May 2027, Phase 3: Jan 2028).</t>
  </si>
  <si>
    <t xml:space="preserve">Risk ID</t>
  </si>
  <si>
    <t xml:space="preserve">Risk Title</t>
  </si>
  <si>
    <t xml:space="preserve">Threat Source</t>
  </si>
  <si>
    <t xml:space="preserve">Vulnerability</t>
  </si>
  <si>
    <t xml:space="preserve">Existing Controls</t>
  </si>
  <si>
    <t xml:space="preserve">Likelihood (1-5)</t>
  </si>
  <si>
    <t xml:space="preserve">Impact (1-5)</t>
  </si>
  <si>
    <t xml:space="preserve">Inherent Score</t>
  </si>
  <si>
    <t xml:space="preserve">Inherent Rating</t>
  </si>
  <si>
    <t xml:space="preserve">Treatment</t>
  </si>
  <si>
    <t xml:space="preserve">Recommended Controls</t>
  </si>
  <si>
    <t xml:space="preserve">HIPAA Reference</t>
  </si>
  <si>
    <t xml:space="preserve">NIST CSF 2.0</t>
  </si>
  <si>
    <t xml:space="preserve">Risk Owner</t>
  </si>
  <si>
    <t xml:space="preserve">Target Date</t>
  </si>
  <si>
    <t xml:space="preserve">Residual Likelihood</t>
  </si>
  <si>
    <t xml:space="preserve">Residual Impact</t>
  </si>
  <si>
    <t xml:space="preserve">Residual Score</t>
  </si>
  <si>
    <t xml:space="preserve">Residual Rating</t>
  </si>
  <si>
    <t xml:space="preserve">Status</t>
  </si>
  <si>
    <t xml:space="preserve">R01</t>
  </si>
  <si>
    <t xml:space="preserve">Ransomware via compromised vendor remote access</t>
  </si>
  <si>
    <t xml:space="preserve">Ransomware affiliate (external, financially motivated)</t>
  </si>
  <si>
    <t xml:space="preserve">Vendor remote-access accounts not required to use MFA; access never verified at onboarding</t>
  </si>
  <si>
    <t xml:space="preserve">Annual BAA renewal; vendor self-attestation questionnaire</t>
  </si>
  <si>
    <t xml:space="preserve">Mitigate</t>
  </si>
  <si>
    <t xml:space="preserve">Require phishing-resistant MFA for all vendor remote access; brokered/just-in-time vendor access; continuous monitoring of Critical-tier vendors</t>
  </si>
  <si>
    <t xml:space="preserve">164.308(b)(1); 164.312(d)</t>
  </si>
  <si>
    <t xml:space="preserve">GV.SC; PR.AA</t>
  </si>
  <si>
    <t xml:space="preserve">CISO</t>
  </si>
  <si>
    <t xml:space="preserve">May 2027</t>
  </si>
  <si>
    <t xml:space="preserve">In Progress</t>
  </si>
  <si>
    <t xml:space="preserve">R02</t>
  </si>
  <si>
    <t xml:space="preserve">Prolonged outage of claims clearinghouse halts revenue and e-prescribing</t>
  </si>
  <si>
    <t xml:space="preserve">Third-party service failure (ransomware or outage at vendor)</t>
  </si>
  <si>
    <t xml:space="preserve">Single clearinghouse with no tested failover; no manual downtime procedures for claims or e-prescribing</t>
  </si>
  <si>
    <t xml:space="preserve">Vendor SLA (no security or recovery terms)</t>
  </si>
  <si>
    <t xml:space="preserve">Pre-contract a secondary clearinghouse; document and drill manual downtime procedures; maintain cash-reserve plan</t>
  </si>
  <si>
    <t xml:space="preserve">164.308(a)(7)(ii)(B)-(C)</t>
  </si>
  <si>
    <t xml:space="preserve">GV.SC; RC.RP</t>
  </si>
  <si>
    <t xml:space="preserve">CFO</t>
  </si>
  <si>
    <t xml:space="preserve">Nov 2026</t>
  </si>
  <si>
    <t xml:space="preserve">R03</t>
  </si>
  <si>
    <t xml:space="preserve">Business Associate Agreements lack enforceable security terms</t>
  </si>
  <si>
    <t xml:space="preserve">Regulatory / contractual</t>
  </si>
  <si>
    <t xml:space="preserve">BAAs contain no minimum controls, audit rights, or breach-notification SLA</t>
  </si>
  <si>
    <t xml:space="preserve">Standard HIPAA BAA template</t>
  </si>
  <si>
    <t xml:space="preserve">Modernized BAA: MFA certification, SOC 2 Type II or HITRUST evidence, 24-hour incident notification, audit rights</t>
  </si>
  <si>
    <t xml:space="preserve">164.308(b)(1); 164.314(a)</t>
  </si>
  <si>
    <t xml:space="preserve">GV.SC</t>
  </si>
  <si>
    <t xml:space="preserve">General Counsel</t>
  </si>
  <si>
    <t xml:space="preserve">R04</t>
  </si>
  <si>
    <t xml:space="preserve">Compromise of a vendor's subcontractor (fourth party)</t>
  </si>
  <si>
    <t xml:space="preserve">External attacker targeting the vendor's supply chain</t>
  </si>
  <si>
    <t xml:space="preserve">No visibility into subcontractors used by Critical-tier vendors</t>
  </si>
  <si>
    <t xml:space="preserve">None</t>
  </si>
  <si>
    <t xml:space="preserve">Require Critical-tier vendors to disclose material subcontractors and flow down equivalent security requirements</t>
  </si>
  <si>
    <t xml:space="preserve">164.314(a)(2)(i)(B)</t>
  </si>
  <si>
    <t xml:space="preserve">Director of Procurement</t>
  </si>
  <si>
    <t xml:space="preserve">Not Started</t>
  </si>
  <si>
    <t xml:space="preserve">R05</t>
  </si>
  <si>
    <t xml:space="preserve">Workforce credentials stolen through phishing</t>
  </si>
  <si>
    <t xml:space="preserve">Phishing campaign (external)</t>
  </si>
  <si>
    <t xml:space="preserve">Inconsistent MFA on webmail and EHR remote access; annual-only awareness training</t>
  </si>
  <si>
    <t xml:space="preserve">Email spam filter; annual HIPAA training</t>
  </si>
  <si>
    <t xml:space="preserve">MFA on all remote and email access; monthly phishing simulations; external-sender banners; phishing report button</t>
  </si>
  <si>
    <t xml:space="preserve">164.308(a)(5); 164.312(d)</t>
  </si>
  <si>
    <t xml:space="preserve">PR.AA; PR.AT</t>
  </si>
  <si>
    <t xml:space="preserve">R06</t>
  </si>
  <si>
    <t xml:space="preserve">Ransomware spreads through unpatched internal systems</t>
  </si>
  <si>
    <t xml:space="preserve">Ransomware affiliate (external)</t>
  </si>
  <si>
    <t xml:space="preserve">Patch cycle exceeds 60 days for critical vulnerabilities; flat network segments</t>
  </si>
  <si>
    <t xml:space="preserve">Endpoint antivirus; monthly patch window</t>
  </si>
  <si>
    <t xml:space="preserve">Risk-based patching SLA (critical in 14 days); EDR on all endpoints; network segmentation of clinical systems</t>
  </si>
  <si>
    <t xml:space="preserve">164.308(a)(1)(ii)(B); 164.308(a)(5)(ii)(B)</t>
  </si>
  <si>
    <t xml:space="preserve">ID.RA; PR.PS; PR.IR</t>
  </si>
  <si>
    <t xml:space="preserve">Director of IT Infrastructure</t>
  </si>
  <si>
    <t xml:space="preserve">R07</t>
  </si>
  <si>
    <t xml:space="preserve">EHR data cannot be restored after a destructive attack</t>
  </si>
  <si>
    <t xml:space="preserve">Ransomware / destructive malware</t>
  </si>
  <si>
    <t xml:space="preserve">Backups not immutable; restore never tested end-to-end</t>
  </si>
  <si>
    <t xml:space="preserve">Nightly backups to on-premises storage</t>
  </si>
  <si>
    <t xml:space="preserve">Immutable, offline-isolated backups; quarterly restore tests with documented recovery times</t>
  </si>
  <si>
    <t xml:space="preserve">164.308(a)(7)(ii)(A)-(B)</t>
  </si>
  <si>
    <t xml:space="preserve">PR.DS; RC.RP</t>
  </si>
  <si>
    <t xml:space="preserve">R08</t>
  </si>
  <si>
    <t xml:space="preserve">Former workforce or vendor accounts remain active</t>
  </si>
  <si>
    <t xml:space="preserve">Former employee, contractor, or attacker using stale credentials</t>
  </si>
  <si>
    <t xml:space="preserve">No automated deprovisioning; vendor accounts not tied to contract end dates</t>
  </si>
  <si>
    <t xml:space="preserve">Manual termination checklist</t>
  </si>
  <si>
    <t xml:space="preserve">Automate HR-driven deprovisioning; quarterly access reviews; vendor accounts expire with contract</t>
  </si>
  <si>
    <t xml:space="preserve">164.308(a)(3)(ii)(C); 164.308(a)(4)</t>
  </si>
  <si>
    <t xml:space="preserve">PR.AA</t>
  </si>
  <si>
    <t xml:space="preserve">Director of Identity &amp; Access</t>
  </si>
  <si>
    <t xml:space="preserve">R09</t>
  </si>
  <si>
    <t xml:space="preserve">Inappropriate employee access to patient records</t>
  </si>
  <si>
    <t xml:space="preserve">Insider (curiosity, personal relationship, or malicious)</t>
  </si>
  <si>
    <t xml:space="preserve">Audit logs collected but not proactively reviewed</t>
  </si>
  <si>
    <t xml:space="preserve">Role-based EHR access; confidentiality agreement</t>
  </si>
  <si>
    <t xml:space="preserve">Automated EHR access monitoring (e.g., VIP and coworker record alerts); sanctions policy enforcement</t>
  </si>
  <si>
    <t xml:space="preserve">164.312(b); 164.308(a)(1)(ii)(D)</t>
  </si>
  <si>
    <t xml:space="preserve">DE.CM; PR.AA</t>
  </si>
  <si>
    <t xml:space="preserve">Privacy Officer</t>
  </si>
  <si>
    <t xml:space="preserve">R10</t>
  </si>
  <si>
    <t xml:space="preserve">Medical devices compromised through vendor maintenance connections</t>
  </si>
  <si>
    <t xml:space="preserve">External attacker or compromised device vendor</t>
  </si>
  <si>
    <t xml:space="preserve">Device vendors keep always-on remote access; devices on shared network; legacy OS on some imaging systems</t>
  </si>
  <si>
    <t xml:space="preserve">Device inventory (partial)</t>
  </si>
  <si>
    <t xml:space="preserve">Complete device inventory; segment medical devices; vendor remote access only through brokered, logged sessions</t>
  </si>
  <si>
    <t xml:space="preserve">164.308(a)(1)(ii)(A); 164.312(a)(1)</t>
  </si>
  <si>
    <t xml:space="preserve">ID.AM; PR.IR; GV.SC</t>
  </si>
  <si>
    <t xml:space="preserve">Jan 2028</t>
  </si>
  <si>
    <t xml:space="preserve">R11</t>
  </si>
  <si>
    <t xml:space="preserve">Controlled-substance diversion from Automated Dispensing Cabinets</t>
  </si>
  <si>
    <t xml:space="preserve">Insider (clinical staff)</t>
  </si>
  <si>
    <t xml:space="preserve">Override reports reviewed inconsistently; shared credentials on some units</t>
  </si>
  <si>
    <t xml:space="preserve">ADC badge + PIN access; monthly pharmacy reconciliation</t>
  </si>
  <si>
    <t xml:space="preserve">Diversion analytics on ADC transactions; ban shared credentials; biometric ADC login</t>
  </si>
  <si>
    <t xml:space="preserve">N/A (DEA / state pharmacy rules)</t>
  </si>
  <si>
    <t xml:space="preserve">PR.AA; DE.CM</t>
  </si>
  <si>
    <t xml:space="preserve">R12</t>
  </si>
  <si>
    <t xml:space="preserve">Hurricane or extended power loss disrupts campus and on-site data center</t>
  </si>
  <si>
    <t xml:space="preserve">Natural hazard (Gulf Coast hurricane season)</t>
  </si>
  <si>
    <t xml:space="preserve">Single on-site data center; generator fuel supply for ~72 hours</t>
  </si>
  <si>
    <t xml:space="preserve">Backup generators; emergency operations plan</t>
  </si>
  <si>
    <t xml:space="preserve">Secondary hosting site or cloud failover for EHR; fuel resupply contracts; annual hurricane tabletop exercise</t>
  </si>
  <si>
    <t xml:space="preserve">RC.RP; ID.IM</t>
  </si>
  <si>
    <t xml:space="preserve">R13</t>
  </si>
  <si>
    <t xml:space="preserve">Third-party incident not covered by incident response plan</t>
  </si>
  <si>
    <t xml:space="preserve">Any third-party security incident</t>
  </si>
  <si>
    <t xml:space="preserve">IR plan written for internal incidents only; never exercised with vendors</t>
  </si>
  <si>
    <t xml:space="preserve">Internal incident response plan</t>
  </si>
  <si>
    <t xml:space="preserve">Add third-party incident playbook; joint tabletop with Critical-tier vendors annually</t>
  </si>
  <si>
    <t xml:space="preserve">164.308(a)(6)</t>
  </si>
  <si>
    <t xml:space="preserve">RS.MA; RS.CO</t>
  </si>
  <si>
    <t xml:space="preserve">R14</t>
  </si>
  <si>
    <t xml:space="preserve">Lost or stolen laptop exposes PHI</t>
  </si>
  <si>
    <t xml:space="preserve">Theft or loss (opportunistic)</t>
  </si>
  <si>
    <t xml:space="preserve">Full-disk encryption not enforced on all laptops</t>
  </si>
  <si>
    <t xml:space="preserve">Encryption on most new devices; asset tags</t>
  </si>
  <si>
    <t xml:space="preserve">Enforce full-disk encryption via device management; remote wipe capability</t>
  </si>
  <si>
    <t xml:space="preserve">164.312(a)(2)(iv); 164.310(d)(1)</t>
  </si>
  <si>
    <t xml:space="preserve">PR.DS</t>
  </si>
  <si>
    <t xml:space="preserve">R15</t>
  </si>
  <si>
    <t xml:space="preserve">Theft or loss of radioactive sealed sources</t>
  </si>
  <si>
    <t xml:space="preserve">Malicious actor or insider</t>
  </si>
  <si>
    <t xml:space="preserve">Sources stored in controlled areas; inventory checks periodic</t>
  </si>
  <si>
    <t xml:space="preserve">Locked storage; NRC-required inventories; badge access</t>
  </si>
  <si>
    <t xml:space="preserve">Accept</t>
  </si>
  <si>
    <t xml:space="preserve">Maintain current NRC/state program controls; reassess annually</t>
  </si>
  <si>
    <t xml:space="preserve">N/A (NRC 10 CFR Part 37)</t>
  </si>
  <si>
    <t xml:space="preserve">PR.AA (physical)</t>
  </si>
  <si>
    <t xml:space="preserve">Annual review</t>
  </si>
  <si>
    <t xml:space="preserve">Accepted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</si>
  <si>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</si>
  <si>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</si>
  <si>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</si>
  <si>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</si>
  <si>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</si>
  <si>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Risk Heat Maps</t>
  </si>
  <si>
    <t xml:space="preserve">Each cell counts how many risks fall at that Likelihood x Impact position. Updates automatically from the Risk Register.</t>
  </si>
  <si>
    <t xml:space="preserve">Inherent risk (current state)</t>
  </si>
  <si>
    <t xml:space="preserve">Risk count by rating</t>
  </si>
  <si>
    <t xml:space="preserve">Impact ↓  /  Likelihood →</t>
  </si>
  <si>
    <t xml:space="preserve">Inherent</t>
  </si>
  <si>
    <t xml:space="preserve">Residual</t>
  </si>
  <si>
    <t xml:space="preserve">Total</t>
  </si>
  <si>
    <t xml:space="preserve">Average risk score</t>
  </si>
  <si>
    <t xml:space="preserve">Residual risk (after recommended controls)</t>
  </si>
  <si>
    <t xml:space="preserve">Reduction</t>
  </si>
  <si>
    <t xml:space="preserve">Control Gap Assessment</t>
  </si>
  <si>
    <t xml:space="preserve">Status reflects the assessed state in September 2026. Evidence notes describe what was reviewed or what is missing.</t>
  </si>
  <si>
    <t xml:space="preserve">Control ID</t>
  </si>
  <si>
    <t xml:space="preserve">Control</t>
  </si>
  <si>
    <t xml:space="preserve">HHS 405(d) HICP Practice</t>
  </si>
  <si>
    <t xml:space="preserve">Evidence / Gap Notes</t>
  </si>
  <si>
    <t xml:space="preserve">Related Risks</t>
  </si>
  <si>
    <t xml:space="preserve">Priority</t>
  </si>
  <si>
    <t xml:space="preserve">Summary</t>
  </si>
  <si>
    <t xml:space="preserve">C01</t>
  </si>
  <si>
    <t xml:space="preserve">Multi-factor authentication for all remote, email, and vendor access</t>
  </si>
  <si>
    <t xml:space="preserve">164.312(d)</t>
  </si>
  <si>
    <t xml:space="preserve">Access Management</t>
  </si>
  <si>
    <t xml:space="preserve">Partial</t>
  </si>
  <si>
    <t xml:space="preserve">MFA on VPN for employees only; vendor portals and webmail exempt</t>
  </si>
  <si>
    <t xml:space="preserve">R01, R05</t>
  </si>
  <si>
    <t xml:space="preserve">Implemented</t>
  </si>
  <si>
    <t xml:space="preserve">C02</t>
  </si>
  <si>
    <t xml:space="preserve">Vendor inventory and risk-based tiering</t>
  </si>
  <si>
    <t xml:space="preserve">164.308(b)(1); 164.308(a)(1)(ii)(A)</t>
  </si>
  <si>
    <t xml:space="preserve">Cybersecurity Oversight and Governance</t>
  </si>
  <si>
    <t xml:space="preserve">Not Implemented</t>
  </si>
  <si>
    <t xml:space="preserve">Vendor list kept by Procurement for payment, not security; no tiers</t>
  </si>
  <si>
    <t xml:space="preserve">R01, R03, R04</t>
  </si>
  <si>
    <t xml:space="preserve">C03</t>
  </si>
  <si>
    <t xml:space="preserve">Business Associate Agreements with minimum security requirements</t>
  </si>
  <si>
    <t xml:space="preserve">BAAs signed for PHI vendors but use 2013 template without security terms</t>
  </si>
  <si>
    <t xml:space="preserve">C04</t>
  </si>
  <si>
    <t xml:space="preserve">Continuous monitoring of Critical- and High-tier vendors</t>
  </si>
  <si>
    <t xml:space="preserve">164.308(a)(1)(ii)(D)</t>
  </si>
  <si>
    <t xml:space="preserve">DE.CM; GV.SC</t>
  </si>
  <si>
    <t xml:space="preserve">Annual self-attestation questionnaire only</t>
  </si>
  <si>
    <t xml:space="preserve">R01, R04</t>
  </si>
  <si>
    <t xml:space="preserve">C05</t>
  </si>
  <si>
    <t xml:space="preserve">Security awareness training and phishing simulation</t>
  </si>
  <si>
    <t xml:space="preserve">164.308(a)(5)</t>
  </si>
  <si>
    <t xml:space="preserve">PR.AT</t>
  </si>
  <si>
    <t xml:space="preserve">Email Protection</t>
  </si>
  <si>
    <t xml:space="preserve">Annual HIPAA module completed by 91% of staff; no phishing simulations</t>
  </si>
  <si>
    <t xml:space="preserve">C06</t>
  </si>
  <si>
    <t xml:space="preserve">Risk-based vulnerability and patch management</t>
  </si>
  <si>
    <t xml:space="preserve">164.308(a)(1)(ii)(B)</t>
  </si>
  <si>
    <t xml:space="preserve">ID.RA; PR.PS</t>
  </si>
  <si>
    <t xml:space="preserve">Vulnerability Management</t>
  </si>
  <si>
    <t xml:space="preserve">Monthly patching; median 63 days to remediate critical findings</t>
  </si>
  <si>
    <t xml:space="preserve">C07</t>
  </si>
  <si>
    <t xml:space="preserve">Immutable backups with tested restoration</t>
  </si>
  <si>
    <t xml:space="preserve">164.308(a)(7)(ii)(A)</t>
  </si>
  <si>
    <t xml:space="preserve">Data Protection and Loss Prevention</t>
  </si>
  <si>
    <t xml:space="preserve">Nightly backups exist; no immutable copy; last full restore test: never</t>
  </si>
  <si>
    <t xml:space="preserve">C08</t>
  </si>
  <si>
    <t xml:space="preserve">Contingency and downtime procedures (incl. third-party outages)</t>
  </si>
  <si>
    <t xml:space="preserve">RC.RP</t>
  </si>
  <si>
    <t xml:space="preserve">Security Operations Center and Incident Response</t>
  </si>
  <si>
    <t xml:space="preserve">No manual procedures for claims or e-prescribing downtime</t>
  </si>
  <si>
    <t xml:space="preserve">R02, R12</t>
  </si>
  <si>
    <t xml:space="preserve">C09</t>
  </si>
  <si>
    <t xml:space="preserve">Access provisioning, deprovisioning, and periodic review</t>
  </si>
  <si>
    <t xml:space="preserve">Manual termination checklist; 47 active accounts found for departed staff in sample</t>
  </si>
  <si>
    <t xml:space="preserve">C10</t>
  </si>
  <si>
    <t xml:space="preserve">Audit log review and EHR access monitoring</t>
  </si>
  <si>
    <t xml:space="preserve">164.312(b)</t>
  </si>
  <si>
    <t xml:space="preserve">DE.CM</t>
  </si>
  <si>
    <t xml:space="preserve">Logs retained 1 year; reviewed only after complaints</t>
  </si>
  <si>
    <t xml:space="preserve">C11</t>
  </si>
  <si>
    <t xml:space="preserve">Medical device inventory and network segmentation</t>
  </si>
  <si>
    <t xml:space="preserve">ID.AM; PR.IR</t>
  </si>
  <si>
    <t xml:space="preserve">Network Connected Medical Devices</t>
  </si>
  <si>
    <t xml:space="preserve">Inventory ~70% complete; devices share clinical VLANs</t>
  </si>
  <si>
    <t xml:space="preserve">C12</t>
  </si>
  <si>
    <t xml:space="preserve">Incident response plan covering third-party incidents</t>
  </si>
  <si>
    <t xml:space="preserve">Internal IR plan exists; no vendor playbook; last tabletop 2023</t>
  </si>
  <si>
    <t xml:space="preserve">C13</t>
  </si>
  <si>
    <t xml:space="preserve">Endpoint encryption and device management</t>
  </si>
  <si>
    <t xml:space="preserve">164.312(a)(2)(iv)</t>
  </si>
  <si>
    <t xml:space="preserve">Endpoint Protection</t>
  </si>
  <si>
    <t xml:space="preserve">Encryption on ~85% of laptops; not enforced by policy</t>
  </si>
  <si>
    <t xml:space="preserve">C14</t>
  </si>
  <si>
    <t xml:space="preserve">Enterprise risk analysis performed and documented annually</t>
  </si>
  <si>
    <t xml:space="preserve">164.308(a)(1)(ii)(A)</t>
  </si>
  <si>
    <t xml:space="preserve">ID.RA; GV.RM</t>
  </si>
  <si>
    <t xml:space="preserve">This assessment; to be repeated annually by the Vendor Risk Governance Subcommittee</t>
  </si>
  <si>
    <t xml:space="preserve">All</t>
  </si>
  <si>
    <t xml:space="preserve">Vendor Tiering (sample of Critical-path and representative vendors)</t>
  </si>
  <si>
    <t xml:space="preserve">Score each criterion 0-3 (0 = none, 3 = extensive). 'Critical by default' = Yes forces Critical tier (clearinghouse and EHR vendors, per the TPRM program design). Vendor names are generic placeholders.</t>
  </si>
  <si>
    <t xml:space="preserve">Vendor ID</t>
  </si>
  <si>
    <t xml:space="preserve">Vendor (generic)</t>
  </si>
  <si>
    <t xml:space="preserve">Service Provided</t>
  </si>
  <si>
    <t xml:space="preserve">PHI Access (0-3)</t>
  </si>
  <si>
    <t xml:space="preserve">System Integration (0-3)</t>
  </si>
  <si>
    <t xml:space="preserve">Operational Criticality (0-3)</t>
  </si>
  <si>
    <t xml:space="preserve">Remote Access (0-3)</t>
  </si>
  <si>
    <t xml:space="preserve">Total (0-12)</t>
  </si>
  <si>
    <t xml:space="preserve">Critical by Default?</t>
  </si>
  <si>
    <t xml:space="preserve">Monitoring Requirement</t>
  </si>
  <si>
    <t xml:space="preserve">BAA Required?</t>
  </si>
  <si>
    <t xml:space="preserve">V01</t>
  </si>
  <si>
    <t xml:space="preserve">Claims Clearinghouse</t>
  </si>
  <si>
    <t xml:space="preserve">Claims submission, prior authorization, e-prescribing routing</t>
  </si>
  <si>
    <t xml:space="preserve">Yes</t>
  </si>
  <si>
    <t xml:space="preserve">V02</t>
  </si>
  <si>
    <t xml:space="preserve">EHR Platform Vendor</t>
  </si>
  <si>
    <t xml:space="preserve">Electronic health record hosting and support</t>
  </si>
  <si>
    <t xml:space="preserve">V03</t>
  </si>
  <si>
    <t xml:space="preserve">Revenue Cycle Outsourcer</t>
  </si>
  <si>
    <t xml:space="preserve">Coding, billing, and denial management</t>
  </si>
  <si>
    <t xml:space="preserve">No</t>
  </si>
  <si>
    <t xml:space="preserve">V04</t>
  </si>
  <si>
    <t xml:space="preserve">Dispensing Cabinet Vendor</t>
  </si>
  <si>
    <t xml:space="preserve">Automated Dispensing Cabinets and pharmacy software</t>
  </si>
  <si>
    <t xml:space="preserve">V05</t>
  </si>
  <si>
    <t xml:space="preserve">Imaging / PACS Vendor</t>
  </si>
  <si>
    <t xml:space="preserve">Picture archiving system and remote support</t>
  </si>
  <si>
    <t xml:space="preserve">V06</t>
  </si>
  <si>
    <t xml:space="preserve">Infusion Pump Manufacturer</t>
  </si>
  <si>
    <t xml:space="preserve">Pump fleet, drug library updates, remote patching</t>
  </si>
  <si>
    <t xml:space="preserve">V07</t>
  </si>
  <si>
    <t xml:space="preserve">Cloud Backup Provider</t>
  </si>
  <si>
    <t xml:space="preserve">Offsite backup storage for clinical systems</t>
  </si>
  <si>
    <t xml:space="preserve">V08</t>
  </si>
  <si>
    <t xml:space="preserve">Building Automation Contractor</t>
  </si>
  <si>
    <t xml:space="preserve">HVAC and building management systems</t>
  </si>
  <si>
    <t xml:space="preserve">V09</t>
  </si>
  <si>
    <t xml:space="preserve">Medical Transcription Service</t>
  </si>
  <si>
    <t xml:space="preserve">Dictation transcription for physicians</t>
  </si>
  <si>
    <t xml:space="preserve">V10</t>
  </si>
  <si>
    <t xml:space="preserve">Collections Agency</t>
  </si>
  <si>
    <t xml:space="preserve">Patient account collections</t>
  </si>
  <si>
    <t xml:space="preserve">V11</t>
  </si>
  <si>
    <t xml:space="preserve">Clinical Staffing Agency</t>
  </si>
  <si>
    <t xml:space="preserve">Travel nurse and locum placement (placed staff are treated as workforce, not a Business Associate)</t>
  </si>
  <si>
    <t xml:space="preserve">V12</t>
  </si>
  <si>
    <t xml:space="preserve">Linen &amp; Laundry Service</t>
  </si>
  <si>
    <t xml:space="preserve">Linen supply and laundering</t>
  </si>
  <si>
    <t xml:space="preserve">V13</t>
  </si>
  <si>
    <t xml:space="preserve">Food Service Contractor</t>
  </si>
  <si>
    <t xml:space="preserve">Cafeteria and patient meal service</t>
  </si>
  <si>
    <t xml:space="preserve">Tier summary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</si>
</sst>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.0%"/>
    <numFmt numFmtId="168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3864"/>
        <bgColor rgb="FF333333"/>
      </patternFill>
    </fill>
    <fill>
      <patternFill patternType="solid">
        <fgColor rgb="FFA9D08E"/>
        <bgColor rgb="FFBFBFBF"/>
      </patternFill>
    </fill>
    <fill>
      <patternFill patternType="solid">
        <fgColor rgb="FFFFE699"/>
        <bgColor rgb="FFFFF2CC"/>
      </patternFill>
    </fill>
    <fill>
      <patternFill patternType="solid">
        <fgColor rgb="FFF4B183"/>
        <bgColor rgb="FFFF99CC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</font>
      <fill>
        <patternFill>
          <bgColor rgb="FFF4B183"/>
        </patternFill>
      </fill>
    </dxf>
    <dxf>
      <font>
        <name val="Arial"/>
        <charset val="1"/>
        <family val="0"/>
        <b val="1"/>
      </font>
      <fill>
        <patternFill>
          <bgColor rgb="FFFFE699"/>
        </patternFill>
      </fill>
    </dxf>
    <dxf>
      <font>
        <name val="Arial"/>
        <charset val="1"/>
        <family val="0"/>
        <b val="1"/>
      </font>
      <fill>
        <patternFill>
          <bgColor rgb="FFA9D08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A9D08E"/>
        </patternFill>
      </fill>
    </dxf>
    <dxf>
      <fill>
        <patternFill>
          <bgColor rgb="FFFFE699"/>
        </patternFill>
      </fill>
    </dxf>
    <dxf>
      <fill>
        <patternFill>
          <bgColor rgb="FFF4B18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A9D08E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9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4" t="s">
        <v>10</v>
      </c>
      <c r="B13" s="2" t="s">
        <v>11</v>
      </c>
    </row>
    <row r="14" customFormat="false" ht="15" hidden="false" customHeight="false" outlineLevel="0" collapsed="false">
      <c r="A14" s="2" t="s">
        <v>12</v>
      </c>
      <c r="B14" s="2" t="s">
        <v>13</v>
      </c>
    </row>
    <row r="15" customFormat="false" ht="15" hidden="false" customHeight="false" outlineLevel="0" collapsed="false">
      <c r="A15" s="5" t="s">
        <v>14</v>
      </c>
      <c r="B15" s="2" t="s">
        <v>15</v>
      </c>
    </row>
    <row r="17" customFormat="false" ht="15" hidden="false" customHeight="false" outlineLevel="0" collapsed="false">
      <c r="A17" s="3" t="s">
        <v>16</v>
      </c>
    </row>
    <row r="18" customFormat="false" ht="15" hidden="false" customHeight="false" outlineLevel="0" collapsed="false">
      <c r="A18" s="6" t="s">
        <v>17</v>
      </c>
      <c r="B18" s="6" t="s">
        <v>18</v>
      </c>
      <c r="C18" s="6" t="s">
        <v>19</v>
      </c>
    </row>
    <row r="19" customFormat="false" ht="15" hidden="false" customHeight="false" outlineLevel="0" collapsed="false">
      <c r="A19" s="7" t="n">
        <v>1</v>
      </c>
      <c r="B19" s="7" t="s">
        <v>20</v>
      </c>
      <c r="C19" s="7" t="s">
        <v>21</v>
      </c>
    </row>
    <row r="20" customFormat="false" ht="15" hidden="false" customHeight="false" outlineLevel="0" collapsed="false">
      <c r="A20" s="7" t="n">
        <v>2</v>
      </c>
      <c r="B20" s="7" t="s">
        <v>22</v>
      </c>
      <c r="C20" s="7" t="s">
        <v>23</v>
      </c>
    </row>
    <row r="21" customFormat="false" ht="15" hidden="false" customHeight="false" outlineLevel="0" collapsed="false">
      <c r="A21" s="7" t="n">
        <v>3</v>
      </c>
      <c r="B21" s="7" t="s">
        <v>24</v>
      </c>
      <c r="C21" s="7" t="s">
        <v>25</v>
      </c>
    </row>
    <row r="22" customFormat="false" ht="15" hidden="false" customHeight="false" outlineLevel="0" collapsed="false">
      <c r="A22" s="7" t="n">
        <v>4</v>
      </c>
      <c r="B22" s="7" t="s">
        <v>26</v>
      </c>
      <c r="C22" s="7" t="s">
        <v>27</v>
      </c>
    </row>
    <row r="23" customFormat="false" ht="15" hidden="false" customHeight="false" outlineLevel="0" collapsed="false">
      <c r="A23" s="7" t="n">
        <v>5</v>
      </c>
      <c r="B23" s="7" t="s">
        <v>28</v>
      </c>
      <c r="C23" s="7" t="s">
        <v>29</v>
      </c>
    </row>
    <row r="25" customFormat="false" ht="15" hidden="false" customHeight="false" outlineLevel="0" collapsed="false">
      <c r="A25" s="3" t="s">
        <v>30</v>
      </c>
    </row>
    <row r="26" customFormat="false" ht="15" hidden="false" customHeight="false" outlineLevel="0" collapsed="false">
      <c r="A26" s="6" t="s">
        <v>17</v>
      </c>
      <c r="B26" s="6" t="s">
        <v>18</v>
      </c>
      <c r="C26" s="6" t="s">
        <v>19</v>
      </c>
    </row>
    <row r="27" customFormat="false" ht="15" hidden="false" customHeight="false" outlineLevel="0" collapsed="false">
      <c r="A27" s="7" t="n">
        <v>1</v>
      </c>
      <c r="B27" s="7" t="s">
        <v>31</v>
      </c>
      <c r="C27" s="7" t="s">
        <v>32</v>
      </c>
    </row>
    <row r="28" customFormat="false" ht="15" hidden="false" customHeight="false" outlineLevel="0" collapsed="false">
      <c r="A28" s="7" t="n">
        <v>2</v>
      </c>
      <c r="B28" s="7" t="s">
        <v>33</v>
      </c>
      <c r="C28" s="7" t="s">
        <v>34</v>
      </c>
    </row>
    <row r="29" customFormat="false" ht="15" hidden="false" customHeight="false" outlineLevel="0" collapsed="false">
      <c r="A29" s="7" t="n">
        <v>3</v>
      </c>
      <c r="B29" s="7" t="s">
        <v>35</v>
      </c>
      <c r="C29" s="7" t="s">
        <v>36</v>
      </c>
    </row>
    <row r="30" customFormat="false" ht="15" hidden="false" customHeight="false" outlineLevel="0" collapsed="false">
      <c r="A30" s="7" t="n">
        <v>4</v>
      </c>
      <c r="B30" s="7" t="s">
        <v>37</v>
      </c>
      <c r="C30" s="7" t="s">
        <v>38</v>
      </c>
    </row>
    <row r="31" customFormat="false" ht="15" hidden="false" customHeight="false" outlineLevel="0" collapsed="false">
      <c r="A31" s="7" t="n">
        <v>5</v>
      </c>
      <c r="B31" s="7" t="s">
        <v>39</v>
      </c>
      <c r="C31" s="7" t="s">
        <v>40</v>
      </c>
    </row>
    <row r="33" customFormat="false" ht="15" hidden="false" customHeight="false" outlineLevel="0" collapsed="false">
      <c r="A33" s="3" t="s">
        <v>41</v>
      </c>
    </row>
    <row r="34" customFormat="false" ht="15" hidden="false" customHeight="false" outlineLevel="0" collapsed="false">
      <c r="A34" s="6" t="s">
        <v>42</v>
      </c>
      <c r="B34" s="6" t="s">
        <v>43</v>
      </c>
      <c r="C34" s="6" t="s">
        <v>44</v>
      </c>
    </row>
    <row r="35" customFormat="false" ht="15" hidden="false" customHeight="false" outlineLevel="0" collapsed="false">
      <c r="A35" s="8" t="n">
        <v>20</v>
      </c>
      <c r="B35" s="7" t="s">
        <v>45</v>
      </c>
      <c r="C35" s="7" t="s">
        <v>46</v>
      </c>
    </row>
    <row r="36" customFormat="false" ht="15" hidden="false" customHeight="false" outlineLevel="0" collapsed="false">
      <c r="A36" s="8" t="n">
        <v>12</v>
      </c>
      <c r="B36" s="7" t="s">
        <v>47</v>
      </c>
      <c r="C36" s="7" t="s">
        <v>48</v>
      </c>
    </row>
    <row r="37" customFormat="false" ht="15" hidden="false" customHeight="false" outlineLevel="0" collapsed="false">
      <c r="A37" s="8" t="n">
        <v>6</v>
      </c>
      <c r="B37" s="7" t="s">
        <v>49</v>
      </c>
      <c r="C37" s="7" t="s">
        <v>50</v>
      </c>
    </row>
    <row r="38" customFormat="false" ht="15" hidden="false" customHeight="false" outlineLevel="0" collapsed="false">
      <c r="A38" s="8" t="n">
        <v>1</v>
      </c>
      <c r="B38" s="7" t="s">
        <v>51</v>
      </c>
      <c r="C38" s="7" t="s">
        <v>52</v>
      </c>
    </row>
    <row r="40" customFormat="false" ht="15" hidden="false" customHeight="false" outlineLevel="0" collapsed="false">
      <c r="A40" s="3" t="s">
        <v>53</v>
      </c>
    </row>
    <row r="41" customFormat="false" ht="15" hidden="false" customHeight="false" outlineLevel="0" collapsed="false">
      <c r="A41" s="6" t="s">
        <v>54</v>
      </c>
      <c r="B41" s="6" t="s">
        <v>55</v>
      </c>
      <c r="C41" s="6" t="s">
        <v>56</v>
      </c>
    </row>
    <row r="42" customFormat="false" ht="15" hidden="false" customHeight="false" outlineLevel="0" collapsed="false">
      <c r="A42" s="8" t="n">
        <v>10</v>
      </c>
      <c r="B42" s="7" t="s">
        <v>45</v>
      </c>
      <c r="C42" s="7" t="s">
        <v>57</v>
      </c>
    </row>
    <row r="43" customFormat="false" ht="15" hidden="false" customHeight="false" outlineLevel="0" collapsed="false">
      <c r="A43" s="8" t="n">
        <v>7</v>
      </c>
      <c r="B43" s="7" t="s">
        <v>47</v>
      </c>
      <c r="C43" s="7" t="s">
        <v>58</v>
      </c>
    </row>
    <row r="44" customFormat="false" ht="15" hidden="false" customHeight="false" outlineLevel="0" collapsed="false">
      <c r="A44" s="8" t="n">
        <v>4</v>
      </c>
      <c r="B44" s="7" t="s">
        <v>49</v>
      </c>
      <c r="C44" s="7" t="s">
        <v>59</v>
      </c>
    </row>
    <row r="45" customFormat="false" ht="15" hidden="false" customHeight="false" outlineLevel="0" collapsed="false">
      <c r="A45" s="8" t="n">
        <v>0</v>
      </c>
      <c r="B45" s="7" t="s">
        <v>51</v>
      </c>
      <c r="C45" s="7" t="s">
        <v>60</v>
      </c>
    </row>
  </sheetData>
  <conditionalFormatting sqref="B35:B38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B42:B45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8" min="7" style="0" width="12"/>
  </cols>
  <sheetData>
    <row r="1" customFormat="false" ht="19.7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23.85" hidden="false" customHeight="false" outlineLevel="0" collapsed="false">
      <c r="A4" s="6" t="s">
        <v>63</v>
      </c>
      <c r="B4" s="6" t="s">
        <v>64</v>
      </c>
      <c r="C4" s="6" t="s">
        <v>65</v>
      </c>
      <c r="D4" s="6" t="s">
        <v>66</v>
      </c>
      <c r="E4" s="6" t="s">
        <v>67</v>
      </c>
      <c r="F4" s="6" t="s">
        <v>68</v>
      </c>
      <c r="G4" s="6" t="s">
        <v>69</v>
      </c>
      <c r="H4" s="6" t="s">
        <v>70</v>
      </c>
    </row>
    <row r="5" customFormat="false" ht="23.85" hidden="false" customHeight="false" outlineLevel="0" collapsed="false">
      <c r="A5" s="7" t="s">
        <v>71</v>
      </c>
      <c r="B5" s="7" t="s">
        <v>72</v>
      </c>
      <c r="C5" s="7" t="s">
        <v>73</v>
      </c>
      <c r="D5" s="7" t="s">
        <v>74</v>
      </c>
      <c r="E5" s="9" t="n">
        <v>9</v>
      </c>
      <c r="F5" s="9" t="n">
        <v>9</v>
      </c>
      <c r="G5" s="10" t="n">
        <f aca="false">E5*F5</f>
        <v>81</v>
      </c>
      <c r="H5" s="10" t="n">
        <f aca="false">RANK(G5,$G$5:$G$12)</f>
        <v>1</v>
      </c>
    </row>
    <row r="6" customFormat="false" ht="23.85" hidden="false" customHeight="false" outlineLevel="0" collapsed="false">
      <c r="A6" s="7" t="s">
        <v>75</v>
      </c>
      <c r="B6" s="7" t="s">
        <v>76</v>
      </c>
      <c r="C6" s="7" t="s">
        <v>77</v>
      </c>
      <c r="D6" s="7" t="s">
        <v>78</v>
      </c>
      <c r="E6" s="9" t="n">
        <v>9</v>
      </c>
      <c r="F6" s="9" t="n">
        <v>6</v>
      </c>
      <c r="G6" s="10" t="n">
        <f aca="false">E6*F6</f>
        <v>54</v>
      </c>
      <c r="H6" s="10" t="n">
        <f aca="false">RANK(G6,$G$5:$G$12)</f>
        <v>2</v>
      </c>
    </row>
    <row r="7" customFormat="false" ht="15" hidden="false" customHeight="false" outlineLevel="0" collapsed="false">
      <c r="A7" s="7" t="s">
        <v>79</v>
      </c>
      <c r="B7" s="7" t="s">
        <v>80</v>
      </c>
      <c r="C7" s="7" t="s">
        <v>81</v>
      </c>
      <c r="D7" s="7" t="s">
        <v>82</v>
      </c>
      <c r="E7" s="9" t="n">
        <v>7</v>
      </c>
      <c r="F7" s="9" t="n">
        <v>4</v>
      </c>
      <c r="G7" s="10" t="n">
        <f aca="false">E7*F7</f>
        <v>28</v>
      </c>
      <c r="H7" s="10" t="n">
        <f aca="false">RANK(G7,$G$5:$G$12)</f>
        <v>6</v>
      </c>
    </row>
    <row r="8" customFormat="false" ht="15" hidden="false" customHeight="false" outlineLevel="0" collapsed="false">
      <c r="A8" s="7" t="s">
        <v>83</v>
      </c>
      <c r="B8" s="7" t="s">
        <v>84</v>
      </c>
      <c r="C8" s="7" t="s">
        <v>85</v>
      </c>
      <c r="D8" s="7" t="s">
        <v>86</v>
      </c>
      <c r="E8" s="9" t="n">
        <v>8</v>
      </c>
      <c r="F8" s="9" t="n">
        <v>3</v>
      </c>
      <c r="G8" s="10" t="n">
        <f aca="false">E8*F8</f>
        <v>24</v>
      </c>
      <c r="H8" s="10" t="n">
        <f aca="false">RANK(G8,$G$5:$G$12)</f>
        <v>7</v>
      </c>
    </row>
    <row r="9" customFormat="false" ht="23.85" hidden="false" customHeight="false" outlineLevel="0" collapsed="false">
      <c r="A9" s="7" t="s">
        <v>87</v>
      </c>
      <c r="B9" s="7" t="s">
        <v>88</v>
      </c>
      <c r="C9" s="7" t="s">
        <v>89</v>
      </c>
      <c r="D9" s="7" t="s">
        <v>90</v>
      </c>
      <c r="E9" s="9" t="n">
        <v>8</v>
      </c>
      <c r="F9" s="9" t="n">
        <v>4</v>
      </c>
      <c r="G9" s="10" t="n">
        <f aca="false">E9*F9</f>
        <v>32</v>
      </c>
      <c r="H9" s="10" t="n">
        <f aca="false">RANK(G9,$G$5:$G$12)</f>
        <v>4</v>
      </c>
    </row>
    <row r="10" customFormat="false" ht="23.85" hidden="false" customHeight="false" outlineLevel="0" collapsed="false">
      <c r="A10" s="7" t="s">
        <v>91</v>
      </c>
      <c r="B10" s="7" t="s">
        <v>92</v>
      </c>
      <c r="C10" s="7" t="s">
        <v>93</v>
      </c>
      <c r="D10" s="7" t="s">
        <v>94</v>
      </c>
      <c r="E10" s="9" t="n">
        <v>7</v>
      </c>
      <c r="F10" s="9" t="n">
        <v>3</v>
      </c>
      <c r="G10" s="10" t="n">
        <f aca="false">E10*F10</f>
        <v>21</v>
      </c>
      <c r="H10" s="10" t="n">
        <f aca="false">RANK(G10,$G$5:$G$12)</f>
        <v>8</v>
      </c>
    </row>
    <row r="11" customFormat="false" ht="15" hidden="false" customHeight="false" outlineLevel="0" collapsed="false">
      <c r="A11" s="7" t="s">
        <v>95</v>
      </c>
      <c r="B11" s="7" t="s">
        <v>96</v>
      </c>
      <c r="C11" s="7" t="s">
        <v>97</v>
      </c>
      <c r="D11" s="7" t="s">
        <v>98</v>
      </c>
      <c r="E11" s="9" t="n">
        <v>6</v>
      </c>
      <c r="F11" s="9" t="n">
        <v>5</v>
      </c>
      <c r="G11" s="10" t="n">
        <f aca="false">E11*F11</f>
        <v>30</v>
      </c>
      <c r="H11" s="10" t="n">
        <f aca="false">RANK(G11,$G$5:$G$12)</f>
        <v>5</v>
      </c>
    </row>
    <row r="12" customFormat="false" ht="23.85" hidden="false" customHeight="false" outlineLevel="0" collapsed="false">
      <c r="A12" s="7" t="s">
        <v>99</v>
      </c>
      <c r="B12" s="7" t="s">
        <v>100</v>
      </c>
      <c r="C12" s="7" t="s">
        <v>101</v>
      </c>
      <c r="D12" s="7" t="s">
        <v>102</v>
      </c>
      <c r="E12" s="9" t="n">
        <v>7</v>
      </c>
      <c r="F12" s="9" t="n">
        <v>6</v>
      </c>
      <c r="G12" s="10" t="n">
        <f aca="false">E12*F12</f>
        <v>42</v>
      </c>
      <c r="H12" s="10" t="n">
        <f aca="false">RANK(G12,$G$5:$G$12)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2"/>
    <col collapsed="false" customWidth="true" hidden="false" outlineLevel="0" max="4" min="4" style="0" width="26"/>
    <col collapsed="false" customWidth="true" hidden="false" outlineLevel="0" max="5" min="5" style="0" width="36"/>
    <col collapsed="false" customWidth="true" hidden="false" outlineLevel="0" max="6" min="6" style="0" width="28"/>
    <col collapsed="false" customWidth="true" hidden="false" outlineLevel="0" max="7" min="7" style="0" width="11"/>
    <col collapsed="false" customWidth="true" hidden="false" outlineLevel="0" max="9" min="8" style="0" width="10"/>
    <col collapsed="false" customWidth="true" hidden="false" outlineLevel="0" max="11" min="10" style="0" width="11"/>
    <col collapsed="false" customWidth="true" hidden="false" outlineLevel="0" max="12" min="12" style="0" width="42"/>
    <col collapsed="false" customWidth="true" hidden="false" outlineLevel="0" max="13" min="13" style="0" width="22"/>
    <col collapsed="false" customWidth="true" hidden="false" outlineLevel="0" max="14" min="14" style="0" width="16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9" min="18" style="0" width="10"/>
    <col collapsed="false" customWidth="true" hidden="false" outlineLevel="0" max="20" min="20" style="0" width="11"/>
    <col collapsed="false" customWidth="true" hidden="false" outlineLevel="0" max="21" min="21" style="0" width="12"/>
  </cols>
  <sheetData>
    <row r="1" customFormat="false" ht="19.7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42" hidden="false" customHeight="true" outlineLevel="0" collapsed="false">
      <c r="A4" s="6" t="s">
        <v>105</v>
      </c>
      <c r="B4" s="6" t="s">
        <v>64</v>
      </c>
      <c r="C4" s="6" t="s">
        <v>106</v>
      </c>
      <c r="D4" s="6" t="s">
        <v>107</v>
      </c>
      <c r="E4" s="6" t="s">
        <v>108</v>
      </c>
      <c r="F4" s="6" t="s">
        <v>109</v>
      </c>
      <c r="G4" s="6" t="s">
        <v>110</v>
      </c>
      <c r="H4" s="6" t="s">
        <v>111</v>
      </c>
      <c r="I4" s="6" t="s">
        <v>112</v>
      </c>
      <c r="J4" s="6" t="s">
        <v>113</v>
      </c>
      <c r="K4" s="6" t="s">
        <v>114</v>
      </c>
      <c r="L4" s="6" t="s">
        <v>115</v>
      </c>
      <c r="M4" s="6" t="s">
        <v>116</v>
      </c>
      <c r="N4" s="6" t="s">
        <v>117</v>
      </c>
      <c r="O4" s="6" t="s">
        <v>118</v>
      </c>
      <c r="P4" s="6" t="s">
        <v>119</v>
      </c>
      <c r="Q4" s="6" t="s">
        <v>120</v>
      </c>
      <c r="R4" s="6" t="s">
        <v>121</v>
      </c>
      <c r="S4" s="6" t="s">
        <v>122</v>
      </c>
      <c r="T4" s="6" t="s">
        <v>123</v>
      </c>
      <c r="U4" s="6" t="s">
        <v>124</v>
      </c>
    </row>
    <row r="5" customFormat="false" ht="46.25" hidden="false" customHeight="false" outlineLevel="0" collapsed="false">
      <c r="A5" s="11" t="s">
        <v>125</v>
      </c>
      <c r="B5" s="11" t="s">
        <v>71</v>
      </c>
      <c r="C5" s="11" t="s">
        <v>126</v>
      </c>
      <c r="D5" s="11" t="s">
        <v>127</v>
      </c>
      <c r="E5" s="11" t="s">
        <v>128</v>
      </c>
      <c r="F5" s="11" t="s">
        <v>129</v>
      </c>
      <c r="G5" s="9" t="n">
        <v>5</v>
      </c>
      <c r="H5" s="9" t="n">
        <v>5</v>
      </c>
      <c r="I5" s="12" t="n">
        <f aca="false">IF(OR(G5="",H5=""),"",G5*H5)</f>
        <v>25</v>
      </c>
      <c r="J5" s="13" t="str">
        <f aca="false">IF(I5="","",IF(I5&gt;='Start Here'!$A$35,"Critical",IF(I5&gt;='Start Here'!$A$36,"High",IF(I5&gt;='Start Here'!$A$37,"Medium","Low"))))</f>
        <v>Critical</v>
      </c>
      <c r="K5" s="11" t="s">
        <v>130</v>
      </c>
      <c r="L5" s="11" t="s">
        <v>131</v>
      </c>
      <c r="M5" s="11" t="s">
        <v>132</v>
      </c>
      <c r="N5" s="11" t="s">
        <v>133</v>
      </c>
      <c r="O5" s="11" t="s">
        <v>134</v>
      </c>
      <c r="P5" s="11" t="s">
        <v>135</v>
      </c>
      <c r="Q5" s="9" t="n">
        <v>2</v>
      </c>
      <c r="R5" s="9" t="n">
        <v>5</v>
      </c>
      <c r="S5" s="12" t="n">
        <f aca="false">IF(OR(Q5="",R5=""),"",Q5*R5)</f>
        <v>10</v>
      </c>
      <c r="T5" s="13" t="str">
        <f aca="false">IF(S5="","",IF(S5&gt;='Start Here'!$A$35,"Critical",IF(S5&gt;='Start Here'!$A$36,"High",IF(S5&gt;='Start Here'!$A$37,"Medium","Low"))))</f>
        <v>Medium</v>
      </c>
      <c r="U5" s="9" t="s">
        <v>136</v>
      </c>
    </row>
    <row r="6" customFormat="false" ht="35.05" hidden="false" customHeight="false" outlineLevel="0" collapsed="false">
      <c r="A6" s="11" t="s">
        <v>137</v>
      </c>
      <c r="B6" s="11" t="s">
        <v>71</v>
      </c>
      <c r="C6" s="11" t="s">
        <v>138</v>
      </c>
      <c r="D6" s="11" t="s">
        <v>139</v>
      </c>
      <c r="E6" s="11" t="s">
        <v>140</v>
      </c>
      <c r="F6" s="11" t="s">
        <v>141</v>
      </c>
      <c r="G6" s="9" t="n">
        <v>4</v>
      </c>
      <c r="H6" s="9" t="n">
        <v>5</v>
      </c>
      <c r="I6" s="12" t="n">
        <f aca="false">IF(OR(G6="",H6=""),"",G6*H6)</f>
        <v>20</v>
      </c>
      <c r="J6" s="13" t="str">
        <f aca="false">IF(I6="","",IF(I6&gt;='Start Here'!$A$35,"Critical",IF(I6&gt;='Start Here'!$A$36,"High",IF(I6&gt;='Start Here'!$A$37,"Medium","Low"))))</f>
        <v>Critical</v>
      </c>
      <c r="K6" s="11" t="s">
        <v>130</v>
      </c>
      <c r="L6" s="11" t="s">
        <v>142</v>
      </c>
      <c r="M6" s="11" t="s">
        <v>143</v>
      </c>
      <c r="N6" s="11" t="s">
        <v>144</v>
      </c>
      <c r="O6" s="11" t="s">
        <v>145</v>
      </c>
      <c r="P6" s="11" t="s">
        <v>146</v>
      </c>
      <c r="Q6" s="9" t="n">
        <v>3</v>
      </c>
      <c r="R6" s="9" t="n">
        <v>3</v>
      </c>
      <c r="S6" s="12" t="n">
        <f aca="false">IF(OR(Q6="",R6=""),"",Q6*R6)</f>
        <v>9</v>
      </c>
      <c r="T6" s="13" t="str">
        <f aca="false">IF(S6="","",IF(S6&gt;='Start Here'!$A$35,"Critical",IF(S6&gt;='Start Here'!$A$36,"High",IF(S6&gt;='Start Here'!$A$37,"Medium","Low"))))</f>
        <v>Medium</v>
      </c>
      <c r="U6" s="9" t="s">
        <v>136</v>
      </c>
    </row>
    <row r="7" customFormat="false" ht="35.05" hidden="false" customHeight="false" outlineLevel="0" collapsed="false">
      <c r="A7" s="11" t="s">
        <v>147</v>
      </c>
      <c r="B7" s="11" t="s">
        <v>71</v>
      </c>
      <c r="C7" s="11" t="s">
        <v>148</v>
      </c>
      <c r="D7" s="11" t="s">
        <v>149</v>
      </c>
      <c r="E7" s="11" t="s">
        <v>150</v>
      </c>
      <c r="F7" s="11" t="s">
        <v>151</v>
      </c>
      <c r="G7" s="9" t="n">
        <v>4</v>
      </c>
      <c r="H7" s="9" t="n">
        <v>4</v>
      </c>
      <c r="I7" s="12" t="n">
        <f aca="false">IF(OR(G7="",H7=""),"",G7*H7)</f>
        <v>16</v>
      </c>
      <c r="J7" s="13" t="str">
        <f aca="false">IF(I7="","",IF(I7&gt;='Start Here'!$A$35,"Critical",IF(I7&gt;='Start Here'!$A$36,"High",IF(I7&gt;='Start Here'!$A$37,"Medium","Low"))))</f>
        <v>High</v>
      </c>
      <c r="K7" s="11" t="s">
        <v>130</v>
      </c>
      <c r="L7" s="11" t="s">
        <v>152</v>
      </c>
      <c r="M7" s="11" t="s">
        <v>153</v>
      </c>
      <c r="N7" s="11" t="s">
        <v>154</v>
      </c>
      <c r="O7" s="11" t="s">
        <v>155</v>
      </c>
      <c r="P7" s="11" t="s">
        <v>146</v>
      </c>
      <c r="Q7" s="9" t="n">
        <v>2</v>
      </c>
      <c r="R7" s="9" t="n">
        <v>4</v>
      </c>
      <c r="S7" s="12" t="n">
        <f aca="false">IF(OR(Q7="",R7=""),"",Q7*R7)</f>
        <v>8</v>
      </c>
      <c r="T7" s="13" t="str">
        <f aca="false">IF(S7="","",IF(S7&gt;='Start Here'!$A$35,"Critical",IF(S7&gt;='Start Here'!$A$36,"High",IF(S7&gt;='Start Here'!$A$37,"Medium","Low"))))</f>
        <v>Medium</v>
      </c>
      <c r="U7" s="9" t="s">
        <v>136</v>
      </c>
    </row>
    <row r="8" customFormat="false" ht="35.05" hidden="false" customHeight="false" outlineLevel="0" collapsed="false">
      <c r="A8" s="11" t="s">
        <v>156</v>
      </c>
      <c r="B8" s="11" t="s">
        <v>71</v>
      </c>
      <c r="C8" s="11" t="s">
        <v>157</v>
      </c>
      <c r="D8" s="11" t="s">
        <v>158</v>
      </c>
      <c r="E8" s="11" t="s">
        <v>159</v>
      </c>
      <c r="F8" s="11" t="s">
        <v>160</v>
      </c>
      <c r="G8" s="9" t="n">
        <v>3</v>
      </c>
      <c r="H8" s="9" t="n">
        <v>4</v>
      </c>
      <c r="I8" s="12" t="n">
        <f aca="false">IF(OR(G8="",H8=""),"",G8*H8)</f>
        <v>12</v>
      </c>
      <c r="J8" s="13" t="str">
        <f aca="false">IF(I8="","",IF(I8&gt;='Start Here'!$A$35,"Critical",IF(I8&gt;='Start Here'!$A$36,"High",IF(I8&gt;='Start Here'!$A$37,"Medium","Low"))))</f>
        <v>High</v>
      </c>
      <c r="K8" s="11" t="s">
        <v>130</v>
      </c>
      <c r="L8" s="11" t="s">
        <v>161</v>
      </c>
      <c r="M8" s="11" t="s">
        <v>162</v>
      </c>
      <c r="N8" s="11" t="s">
        <v>154</v>
      </c>
      <c r="O8" s="11" t="s">
        <v>163</v>
      </c>
      <c r="P8" s="11" t="s">
        <v>135</v>
      </c>
      <c r="Q8" s="9" t="n">
        <v>2</v>
      </c>
      <c r="R8" s="9" t="n">
        <v>4</v>
      </c>
      <c r="S8" s="12" t="n">
        <f aca="false">IF(OR(Q8="",R8=""),"",Q8*R8)</f>
        <v>8</v>
      </c>
      <c r="T8" s="13" t="str">
        <f aca="false">IF(S8="","",IF(S8&gt;='Start Here'!$A$35,"Critical",IF(S8&gt;='Start Here'!$A$36,"High",IF(S8&gt;='Start Here'!$A$37,"Medium","Low"))))</f>
        <v>Medium</v>
      </c>
      <c r="U8" s="9" t="s">
        <v>164</v>
      </c>
    </row>
    <row r="9" customFormat="false" ht="35.05" hidden="false" customHeight="false" outlineLevel="0" collapsed="false">
      <c r="A9" s="11" t="s">
        <v>165</v>
      </c>
      <c r="B9" s="11" t="s">
        <v>71</v>
      </c>
      <c r="C9" s="11" t="s">
        <v>166</v>
      </c>
      <c r="D9" s="11" t="s">
        <v>167</v>
      </c>
      <c r="E9" s="11" t="s">
        <v>168</v>
      </c>
      <c r="F9" s="11" t="s">
        <v>169</v>
      </c>
      <c r="G9" s="9" t="n">
        <v>4</v>
      </c>
      <c r="H9" s="9" t="n">
        <v>4</v>
      </c>
      <c r="I9" s="12" t="n">
        <f aca="false">IF(OR(G9="",H9=""),"",G9*H9)</f>
        <v>16</v>
      </c>
      <c r="J9" s="13" t="str">
        <f aca="false">IF(I9="","",IF(I9&gt;='Start Here'!$A$35,"Critical",IF(I9&gt;='Start Here'!$A$36,"High",IF(I9&gt;='Start Here'!$A$37,"Medium","Low"))))</f>
        <v>High</v>
      </c>
      <c r="K9" s="11" t="s">
        <v>130</v>
      </c>
      <c r="L9" s="11" t="s">
        <v>170</v>
      </c>
      <c r="M9" s="11" t="s">
        <v>171</v>
      </c>
      <c r="N9" s="11" t="s">
        <v>172</v>
      </c>
      <c r="O9" s="11" t="s">
        <v>134</v>
      </c>
      <c r="P9" s="11" t="s">
        <v>146</v>
      </c>
      <c r="Q9" s="9" t="n">
        <v>2</v>
      </c>
      <c r="R9" s="9" t="n">
        <v>4</v>
      </c>
      <c r="S9" s="12" t="n">
        <f aca="false">IF(OR(Q9="",R9=""),"",Q9*R9)</f>
        <v>8</v>
      </c>
      <c r="T9" s="13" t="str">
        <f aca="false">IF(S9="","",IF(S9&gt;='Start Here'!$A$35,"Critical",IF(S9&gt;='Start Here'!$A$36,"High",IF(S9&gt;='Start Here'!$A$37,"Medium","Low"))))</f>
        <v>Medium</v>
      </c>
      <c r="U9" s="9" t="s">
        <v>136</v>
      </c>
    </row>
    <row r="10" customFormat="false" ht="35.05" hidden="false" customHeight="false" outlineLevel="0" collapsed="false">
      <c r="A10" s="11" t="s">
        <v>173</v>
      </c>
      <c r="B10" s="11" t="s">
        <v>71</v>
      </c>
      <c r="C10" s="11" t="s">
        <v>174</v>
      </c>
      <c r="D10" s="11" t="s">
        <v>175</v>
      </c>
      <c r="E10" s="11" t="s">
        <v>176</v>
      </c>
      <c r="F10" s="11" t="s">
        <v>177</v>
      </c>
      <c r="G10" s="9" t="n">
        <v>3</v>
      </c>
      <c r="H10" s="9" t="n">
        <v>5</v>
      </c>
      <c r="I10" s="12" t="n">
        <f aca="false">IF(OR(G10="",H10=""),"",G10*H10)</f>
        <v>15</v>
      </c>
      <c r="J10" s="13" t="str">
        <f aca="false">IF(I10="","",IF(I10&gt;='Start Here'!$A$35,"Critical",IF(I10&gt;='Start Here'!$A$36,"High",IF(I10&gt;='Start Here'!$A$37,"Medium","Low"))))</f>
        <v>High</v>
      </c>
      <c r="K10" s="11" t="s">
        <v>130</v>
      </c>
      <c r="L10" s="11" t="s">
        <v>178</v>
      </c>
      <c r="M10" s="11" t="s">
        <v>179</v>
      </c>
      <c r="N10" s="11" t="s">
        <v>180</v>
      </c>
      <c r="O10" s="11" t="s">
        <v>181</v>
      </c>
      <c r="P10" s="11" t="s">
        <v>135</v>
      </c>
      <c r="Q10" s="9" t="n">
        <v>2</v>
      </c>
      <c r="R10" s="9" t="n">
        <v>5</v>
      </c>
      <c r="S10" s="12" t="n">
        <f aca="false">IF(OR(Q10="",R10=""),"",Q10*R10)</f>
        <v>10</v>
      </c>
      <c r="T10" s="13" t="str">
        <f aca="false">IF(S10="","",IF(S10&gt;='Start Here'!$A$35,"Critical",IF(S10&gt;='Start Here'!$A$36,"High",IF(S10&gt;='Start Here'!$A$37,"Medium","Low"))))</f>
        <v>Medium</v>
      </c>
      <c r="U10" s="9" t="s">
        <v>164</v>
      </c>
    </row>
    <row r="11" customFormat="false" ht="23.85" hidden="false" customHeight="false" outlineLevel="0" collapsed="false">
      <c r="A11" s="11" t="s">
        <v>182</v>
      </c>
      <c r="B11" s="11" t="s">
        <v>71</v>
      </c>
      <c r="C11" s="11" t="s">
        <v>183</v>
      </c>
      <c r="D11" s="11" t="s">
        <v>184</v>
      </c>
      <c r="E11" s="11" t="s">
        <v>185</v>
      </c>
      <c r="F11" s="11" t="s">
        <v>186</v>
      </c>
      <c r="G11" s="9" t="n">
        <v>3</v>
      </c>
      <c r="H11" s="9" t="n">
        <v>5</v>
      </c>
      <c r="I11" s="12" t="n">
        <f aca="false">IF(OR(G11="",H11=""),"",G11*H11)</f>
        <v>15</v>
      </c>
      <c r="J11" s="13" t="str">
        <f aca="false">IF(I11="","",IF(I11&gt;='Start Here'!$A$35,"Critical",IF(I11&gt;='Start Here'!$A$36,"High",IF(I11&gt;='Start Here'!$A$37,"Medium","Low"))))</f>
        <v>High</v>
      </c>
      <c r="K11" s="11" t="s">
        <v>130</v>
      </c>
      <c r="L11" s="11" t="s">
        <v>187</v>
      </c>
      <c r="M11" s="11" t="s">
        <v>188</v>
      </c>
      <c r="N11" s="11" t="s">
        <v>189</v>
      </c>
      <c r="O11" s="11" t="s">
        <v>181</v>
      </c>
      <c r="P11" s="11" t="s">
        <v>135</v>
      </c>
      <c r="Q11" s="9" t="n">
        <v>2</v>
      </c>
      <c r="R11" s="9" t="n">
        <v>4</v>
      </c>
      <c r="S11" s="12" t="n">
        <f aca="false">IF(OR(Q11="",R11=""),"",Q11*R11)</f>
        <v>8</v>
      </c>
      <c r="T11" s="13" t="str">
        <f aca="false">IF(S11="","",IF(S11&gt;='Start Here'!$A$35,"Critical",IF(S11&gt;='Start Here'!$A$36,"High",IF(S11&gt;='Start Here'!$A$37,"Medium","Low"))))</f>
        <v>Medium</v>
      </c>
      <c r="U11" s="9" t="s">
        <v>164</v>
      </c>
    </row>
    <row r="12" customFormat="false" ht="35.05" hidden="false" customHeight="false" outlineLevel="0" collapsed="false">
      <c r="A12" s="11" t="s">
        <v>190</v>
      </c>
      <c r="B12" s="11" t="s">
        <v>71</v>
      </c>
      <c r="C12" s="11" t="s">
        <v>191</v>
      </c>
      <c r="D12" s="11" t="s">
        <v>192</v>
      </c>
      <c r="E12" s="11" t="s">
        <v>193</v>
      </c>
      <c r="F12" s="11" t="s">
        <v>194</v>
      </c>
      <c r="G12" s="9" t="n">
        <v>4</v>
      </c>
      <c r="H12" s="9" t="n">
        <v>4</v>
      </c>
      <c r="I12" s="12" t="n">
        <f aca="false">IF(OR(G12="",H12=""),"",G12*H12)</f>
        <v>16</v>
      </c>
      <c r="J12" s="13" t="str">
        <f aca="false">IF(I12="","",IF(I12&gt;='Start Here'!$A$35,"Critical",IF(I12&gt;='Start Here'!$A$36,"High",IF(I12&gt;='Start Here'!$A$37,"Medium","Low"))))</f>
        <v>High</v>
      </c>
      <c r="K12" s="11" t="s">
        <v>130</v>
      </c>
      <c r="L12" s="11" t="s">
        <v>195</v>
      </c>
      <c r="M12" s="11" t="s">
        <v>196</v>
      </c>
      <c r="N12" s="11" t="s">
        <v>197</v>
      </c>
      <c r="O12" s="11" t="s">
        <v>198</v>
      </c>
      <c r="P12" s="11" t="s">
        <v>146</v>
      </c>
      <c r="Q12" s="9" t="n">
        <v>2</v>
      </c>
      <c r="R12" s="9" t="n">
        <v>3</v>
      </c>
      <c r="S12" s="12" t="n">
        <f aca="false">IF(OR(Q12="",R12=""),"",Q12*R12)</f>
        <v>6</v>
      </c>
      <c r="T12" s="13" t="str">
        <f aca="false">IF(S12="","",IF(S12&gt;='Start Here'!$A$35,"Critical",IF(S12&gt;='Start Here'!$A$36,"High",IF(S12&gt;='Start Here'!$A$37,"Medium","Low"))))</f>
        <v>Medium</v>
      </c>
      <c r="U12" s="9" t="s">
        <v>136</v>
      </c>
    </row>
    <row r="13" customFormat="false" ht="35.05" hidden="false" customHeight="false" outlineLevel="0" collapsed="false">
      <c r="A13" s="11" t="s">
        <v>199</v>
      </c>
      <c r="B13" s="11" t="s">
        <v>71</v>
      </c>
      <c r="C13" s="11" t="s">
        <v>200</v>
      </c>
      <c r="D13" s="11" t="s">
        <v>201</v>
      </c>
      <c r="E13" s="11" t="s">
        <v>202</v>
      </c>
      <c r="F13" s="11" t="s">
        <v>203</v>
      </c>
      <c r="G13" s="9" t="n">
        <v>4</v>
      </c>
      <c r="H13" s="9" t="n">
        <v>3</v>
      </c>
      <c r="I13" s="12" t="n">
        <f aca="false">IF(OR(G13="",H13=""),"",G13*H13)</f>
        <v>12</v>
      </c>
      <c r="J13" s="13" t="str">
        <f aca="false">IF(I13="","",IF(I13&gt;='Start Here'!$A$35,"Critical",IF(I13&gt;='Start Here'!$A$36,"High",IF(I13&gt;='Start Here'!$A$37,"Medium","Low"))))</f>
        <v>High</v>
      </c>
      <c r="K13" s="11" t="s">
        <v>130</v>
      </c>
      <c r="L13" s="11" t="s">
        <v>204</v>
      </c>
      <c r="M13" s="11" t="s">
        <v>205</v>
      </c>
      <c r="N13" s="11" t="s">
        <v>206</v>
      </c>
      <c r="O13" s="11" t="s">
        <v>207</v>
      </c>
      <c r="P13" s="11" t="s">
        <v>135</v>
      </c>
      <c r="Q13" s="9" t="n">
        <v>2</v>
      </c>
      <c r="R13" s="9" t="n">
        <v>3</v>
      </c>
      <c r="S13" s="12" t="n">
        <f aca="false">IF(OR(Q13="",R13=""),"",Q13*R13)</f>
        <v>6</v>
      </c>
      <c r="T13" s="13" t="str">
        <f aca="false">IF(S13="","",IF(S13&gt;='Start Here'!$A$35,"Critical",IF(S13&gt;='Start Here'!$A$36,"High",IF(S13&gt;='Start Here'!$A$37,"Medium","Low"))))</f>
        <v>Medium</v>
      </c>
      <c r="U13" s="9" t="s">
        <v>164</v>
      </c>
    </row>
    <row r="14" customFormat="false" ht="35.05" hidden="false" customHeight="false" outlineLevel="0" collapsed="false">
      <c r="A14" s="11" t="s">
        <v>208</v>
      </c>
      <c r="B14" s="11" t="s">
        <v>99</v>
      </c>
      <c r="C14" s="11" t="s">
        <v>209</v>
      </c>
      <c r="D14" s="11" t="s">
        <v>210</v>
      </c>
      <c r="E14" s="11" t="s">
        <v>211</v>
      </c>
      <c r="F14" s="11" t="s">
        <v>212</v>
      </c>
      <c r="G14" s="9" t="n">
        <v>3</v>
      </c>
      <c r="H14" s="9" t="n">
        <v>5</v>
      </c>
      <c r="I14" s="12" t="n">
        <f aca="false">IF(OR(G14="",H14=""),"",G14*H14)</f>
        <v>15</v>
      </c>
      <c r="J14" s="13" t="str">
        <f aca="false">IF(I14="","",IF(I14&gt;='Start Here'!$A$35,"Critical",IF(I14&gt;='Start Here'!$A$36,"High",IF(I14&gt;='Start Here'!$A$37,"Medium","Low"))))</f>
        <v>High</v>
      </c>
      <c r="K14" s="11" t="s">
        <v>130</v>
      </c>
      <c r="L14" s="11" t="s">
        <v>213</v>
      </c>
      <c r="M14" s="11" t="s">
        <v>214</v>
      </c>
      <c r="N14" s="11" t="s">
        <v>215</v>
      </c>
      <c r="O14" s="11" t="s">
        <v>102</v>
      </c>
      <c r="P14" s="11" t="s">
        <v>216</v>
      </c>
      <c r="Q14" s="9" t="n">
        <v>2</v>
      </c>
      <c r="R14" s="9" t="n">
        <v>4</v>
      </c>
      <c r="S14" s="12" t="n">
        <f aca="false">IF(OR(Q14="",R14=""),"",Q14*R14)</f>
        <v>8</v>
      </c>
      <c r="T14" s="13" t="str">
        <f aca="false">IF(S14="","",IF(S14&gt;='Start Here'!$A$35,"Critical",IF(S14&gt;='Start Here'!$A$36,"High",IF(S14&gt;='Start Here'!$A$37,"Medium","Low"))))</f>
        <v>Medium</v>
      </c>
      <c r="U14" s="9" t="s">
        <v>164</v>
      </c>
    </row>
    <row r="15" customFormat="false" ht="23.85" hidden="false" customHeight="false" outlineLevel="0" collapsed="false">
      <c r="A15" s="11" t="s">
        <v>217</v>
      </c>
      <c r="B15" s="11" t="s">
        <v>75</v>
      </c>
      <c r="C15" s="11" t="s">
        <v>218</v>
      </c>
      <c r="D15" s="11" t="s">
        <v>219</v>
      </c>
      <c r="E15" s="11" t="s">
        <v>220</v>
      </c>
      <c r="F15" s="11" t="s">
        <v>221</v>
      </c>
      <c r="G15" s="9" t="n">
        <v>3</v>
      </c>
      <c r="H15" s="9" t="n">
        <v>4</v>
      </c>
      <c r="I15" s="12" t="n">
        <f aca="false">IF(OR(G15="",H15=""),"",G15*H15)</f>
        <v>12</v>
      </c>
      <c r="J15" s="13" t="str">
        <f aca="false">IF(I15="","",IF(I15&gt;='Start Here'!$A$35,"Critical",IF(I15&gt;='Start Here'!$A$36,"High",IF(I15&gt;='Start Here'!$A$37,"Medium","Low"))))</f>
        <v>High</v>
      </c>
      <c r="K15" s="11" t="s">
        <v>130</v>
      </c>
      <c r="L15" s="11" t="s">
        <v>222</v>
      </c>
      <c r="M15" s="11" t="s">
        <v>223</v>
      </c>
      <c r="N15" s="11" t="s">
        <v>224</v>
      </c>
      <c r="O15" s="11" t="s">
        <v>78</v>
      </c>
      <c r="P15" s="11" t="s">
        <v>135</v>
      </c>
      <c r="Q15" s="9" t="n">
        <v>2</v>
      </c>
      <c r="R15" s="9" t="n">
        <v>3</v>
      </c>
      <c r="S15" s="12" t="n">
        <f aca="false">IF(OR(Q15="",R15=""),"",Q15*R15)</f>
        <v>6</v>
      </c>
      <c r="T15" s="13" t="str">
        <f aca="false">IF(S15="","",IF(S15&gt;='Start Here'!$A$35,"Critical",IF(S15&gt;='Start Here'!$A$36,"High",IF(S15&gt;='Start Here'!$A$37,"Medium","Low"))))</f>
        <v>Medium</v>
      </c>
      <c r="U15" s="9" t="s">
        <v>164</v>
      </c>
    </row>
    <row r="16" customFormat="false" ht="35.05" hidden="false" customHeight="false" outlineLevel="0" collapsed="false">
      <c r="A16" s="11" t="s">
        <v>225</v>
      </c>
      <c r="B16" s="11" t="s">
        <v>87</v>
      </c>
      <c r="C16" s="11" t="s">
        <v>226</v>
      </c>
      <c r="D16" s="11" t="s">
        <v>227</v>
      </c>
      <c r="E16" s="11" t="s">
        <v>228</v>
      </c>
      <c r="F16" s="11" t="s">
        <v>229</v>
      </c>
      <c r="G16" s="9" t="n">
        <v>3</v>
      </c>
      <c r="H16" s="9" t="n">
        <v>5</v>
      </c>
      <c r="I16" s="12" t="n">
        <f aca="false">IF(OR(G16="",H16=""),"",G16*H16)</f>
        <v>15</v>
      </c>
      <c r="J16" s="13" t="str">
        <f aca="false">IF(I16="","",IF(I16&gt;='Start Here'!$A$35,"Critical",IF(I16&gt;='Start Here'!$A$36,"High",IF(I16&gt;='Start Here'!$A$37,"Medium","Low"))))</f>
        <v>High</v>
      </c>
      <c r="K16" s="11" t="s">
        <v>130</v>
      </c>
      <c r="L16" s="11" t="s">
        <v>230</v>
      </c>
      <c r="M16" s="11" t="s">
        <v>143</v>
      </c>
      <c r="N16" s="11" t="s">
        <v>231</v>
      </c>
      <c r="O16" s="11" t="s">
        <v>90</v>
      </c>
      <c r="P16" s="11" t="s">
        <v>216</v>
      </c>
      <c r="Q16" s="9" t="n">
        <v>3</v>
      </c>
      <c r="R16" s="9" t="n">
        <v>3</v>
      </c>
      <c r="S16" s="12" t="n">
        <f aca="false">IF(OR(Q16="",R16=""),"",Q16*R16)</f>
        <v>9</v>
      </c>
      <c r="T16" s="13" t="str">
        <f aca="false">IF(S16="","",IF(S16&gt;='Start Here'!$A$35,"Critical",IF(S16&gt;='Start Here'!$A$36,"High",IF(S16&gt;='Start Here'!$A$37,"Medium","Low"))))</f>
        <v>Medium</v>
      </c>
      <c r="U16" s="9" t="s">
        <v>164</v>
      </c>
    </row>
    <row r="17" customFormat="false" ht="23.85" hidden="false" customHeight="false" outlineLevel="0" collapsed="false">
      <c r="A17" s="11" t="s">
        <v>232</v>
      </c>
      <c r="B17" s="11" t="s">
        <v>71</v>
      </c>
      <c r="C17" s="11" t="s">
        <v>233</v>
      </c>
      <c r="D17" s="11" t="s">
        <v>234</v>
      </c>
      <c r="E17" s="11" t="s">
        <v>235</v>
      </c>
      <c r="F17" s="11" t="s">
        <v>236</v>
      </c>
      <c r="G17" s="9" t="n">
        <v>3</v>
      </c>
      <c r="H17" s="9" t="n">
        <v>4</v>
      </c>
      <c r="I17" s="12" t="n">
        <f aca="false">IF(OR(G17="",H17=""),"",G17*H17)</f>
        <v>12</v>
      </c>
      <c r="J17" s="13" t="str">
        <f aca="false">IF(I17="","",IF(I17&gt;='Start Here'!$A$35,"Critical",IF(I17&gt;='Start Here'!$A$36,"High",IF(I17&gt;='Start Here'!$A$37,"Medium","Low"))))</f>
        <v>High</v>
      </c>
      <c r="K17" s="11" t="s">
        <v>130</v>
      </c>
      <c r="L17" s="11" t="s">
        <v>237</v>
      </c>
      <c r="M17" s="11" t="s">
        <v>238</v>
      </c>
      <c r="N17" s="11" t="s">
        <v>239</v>
      </c>
      <c r="O17" s="11" t="s">
        <v>134</v>
      </c>
      <c r="P17" s="11" t="s">
        <v>135</v>
      </c>
      <c r="Q17" s="9" t="n">
        <v>2</v>
      </c>
      <c r="R17" s="9" t="n">
        <v>3</v>
      </c>
      <c r="S17" s="12" t="n">
        <f aca="false">IF(OR(Q17="",R17=""),"",Q17*R17)</f>
        <v>6</v>
      </c>
      <c r="T17" s="13" t="str">
        <f aca="false">IF(S17="","",IF(S17&gt;='Start Here'!$A$35,"Critical",IF(S17&gt;='Start Here'!$A$36,"High",IF(S17&gt;='Start Here'!$A$37,"Medium","Low"))))</f>
        <v>Medium</v>
      </c>
      <c r="U17" s="9" t="s">
        <v>164</v>
      </c>
    </row>
    <row r="18" customFormat="false" ht="23.85" hidden="false" customHeight="false" outlineLevel="0" collapsed="false">
      <c r="A18" s="11" t="s">
        <v>240</v>
      </c>
      <c r="B18" s="11" t="s">
        <v>71</v>
      </c>
      <c r="C18" s="11" t="s">
        <v>241</v>
      </c>
      <c r="D18" s="11" t="s">
        <v>242</v>
      </c>
      <c r="E18" s="11" t="s">
        <v>243</v>
      </c>
      <c r="F18" s="11" t="s">
        <v>244</v>
      </c>
      <c r="G18" s="9" t="n">
        <v>3</v>
      </c>
      <c r="H18" s="9" t="n">
        <v>3</v>
      </c>
      <c r="I18" s="12" t="n">
        <f aca="false">IF(OR(G18="",H18=""),"",G18*H18)</f>
        <v>9</v>
      </c>
      <c r="J18" s="13" t="str">
        <f aca="false">IF(I18="","",IF(I18&gt;='Start Here'!$A$35,"Critical",IF(I18&gt;='Start Here'!$A$36,"High",IF(I18&gt;='Start Here'!$A$37,"Medium","Low"))))</f>
        <v>Medium</v>
      </c>
      <c r="K18" s="11" t="s">
        <v>130</v>
      </c>
      <c r="L18" s="11" t="s">
        <v>245</v>
      </c>
      <c r="M18" s="11" t="s">
        <v>246</v>
      </c>
      <c r="N18" s="11" t="s">
        <v>247</v>
      </c>
      <c r="O18" s="11" t="s">
        <v>181</v>
      </c>
      <c r="P18" s="11" t="s">
        <v>146</v>
      </c>
      <c r="Q18" s="9" t="n">
        <v>1</v>
      </c>
      <c r="R18" s="9" t="n">
        <v>2</v>
      </c>
      <c r="S18" s="12" t="n">
        <f aca="false">IF(OR(Q18="",R18=""),"",Q18*R18)</f>
        <v>2</v>
      </c>
      <c r="T18" s="13" t="str">
        <f aca="false">IF(S18="","",IF(S18&gt;='Start Here'!$A$35,"Critical",IF(S18&gt;='Start Here'!$A$36,"High",IF(S18&gt;='Start Here'!$A$37,"Medium","Low"))))</f>
        <v>Low</v>
      </c>
      <c r="U18" s="9" t="s">
        <v>136</v>
      </c>
    </row>
    <row r="19" customFormat="false" ht="23.85" hidden="false" customHeight="false" outlineLevel="0" collapsed="false">
      <c r="A19" s="11" t="s">
        <v>248</v>
      </c>
      <c r="B19" s="11" t="s">
        <v>83</v>
      </c>
      <c r="C19" s="11" t="s">
        <v>249</v>
      </c>
      <c r="D19" s="11" t="s">
        <v>250</v>
      </c>
      <c r="E19" s="11" t="s">
        <v>251</v>
      </c>
      <c r="F19" s="11" t="s">
        <v>252</v>
      </c>
      <c r="G19" s="9" t="n">
        <v>1</v>
      </c>
      <c r="H19" s="9" t="n">
        <v>5</v>
      </c>
      <c r="I19" s="12" t="n">
        <f aca="false">IF(OR(G19="",H19=""),"",G19*H19)</f>
        <v>5</v>
      </c>
      <c r="J19" s="13" t="str">
        <f aca="false">IF(I19="","",IF(I19&gt;='Start Here'!$A$35,"Critical",IF(I19&gt;='Start Here'!$A$36,"High",IF(I19&gt;='Start Here'!$A$37,"Medium","Low"))))</f>
        <v>Low</v>
      </c>
      <c r="K19" s="11" t="s">
        <v>253</v>
      </c>
      <c r="L19" s="11" t="s">
        <v>254</v>
      </c>
      <c r="M19" s="11" t="s">
        <v>255</v>
      </c>
      <c r="N19" s="11" t="s">
        <v>256</v>
      </c>
      <c r="O19" s="11" t="s">
        <v>86</v>
      </c>
      <c r="P19" s="11" t="s">
        <v>257</v>
      </c>
      <c r="Q19" s="9" t="n">
        <v>1</v>
      </c>
      <c r="R19" s="9" t="n">
        <v>5</v>
      </c>
      <c r="S19" s="12" t="n">
        <f aca="false">IF(OR(Q19="",R19=""),"",Q19*R19)</f>
        <v>5</v>
      </c>
      <c r="T19" s="13" t="str">
        <f aca="false">IF(S19="","",IF(S19&gt;='Start Here'!$A$35,"Critical",IF(S19&gt;='Start Here'!$A$36,"High",IF(S19&gt;='Start Here'!$A$37,"Medium","Low"))))</f>
        <v>Low</v>
      </c>
      <c r="U19" s="9" t="s">
        <v>258</v>
      </c>
    </row>
    <row r="20" customFormat="false" ht="15" hidden="false" customHeight="false" outlineLevel="0" collapsed="false">
      <c r="A20" s="11" t="s">
        <v>259</v>
      </c>
      <c r="B20" s="11"/>
      <c r="C20" s="11"/>
      <c r="D20" s="11"/>
      <c r="E20" s="11"/>
      <c r="F20" s="11"/>
      <c r="G20" s="9"/>
      <c r="H20" s="9"/>
      <c r="I20" s="12" t="str">
        <f aca="false">IF(OR(G20="",H20=""),"",G20*H20)</f>
        <v/>
      </c>
      <c r="J20" s="13" t="str">
        <f aca="false">IF(I20="","",IF(I20&gt;='Start Here'!$A$35,"Critical",IF(I20&gt;='Start Here'!$A$36,"High",IF(I20&gt;='Start Here'!$A$37,"Medium","Low"))))</f>
        <v/>
      </c>
      <c r="K20" s="11"/>
      <c r="L20" s="11"/>
      <c r="M20" s="11"/>
      <c r="N20" s="11"/>
      <c r="O20" s="11"/>
      <c r="P20" s="11"/>
      <c r="Q20" s="9"/>
      <c r="R20" s="9"/>
      <c r="S20" s="12" t="str">
        <f aca="false">IF(OR(Q20="",R20=""),"",Q20*R20)</f>
        <v/>
      </c>
      <c r="T20" s="13" t="str">
        <f aca="false">IF(S20="","",IF(S20&gt;='Start Here'!$A$35,"Critical",IF(S20&gt;='Start Here'!$A$36,"High",IF(S20&gt;='Start Here'!$A$37,"Medium","Low"))))</f>
        <v/>
      </c>
      <c r="U20" s="9"/>
    </row>
    <row r="21" customFormat="false" ht="15" hidden="false" customHeight="false" outlineLevel="0" collapsed="false">
      <c r="A21" s="11" t="s">
        <v>260</v>
      </c>
      <c r="B21" s="11"/>
      <c r="C21" s="11"/>
      <c r="D21" s="11"/>
      <c r="E21" s="11"/>
      <c r="F21" s="11"/>
      <c r="G21" s="9"/>
      <c r="H21" s="9"/>
      <c r="I21" s="12" t="str">
        <f aca="false">IF(OR(G21="",H21=""),"",G21*H21)</f>
        <v/>
      </c>
      <c r="J21" s="13" t="str">
        <f aca="false">IF(I21="","",IF(I21&gt;='Start Here'!$A$35,"Critical",IF(I21&gt;='Start Here'!$A$36,"High",IF(I21&gt;='Start Here'!$A$37,"Medium","Low"))))</f>
        <v/>
      </c>
      <c r="K21" s="11"/>
      <c r="L21" s="11"/>
      <c r="M21" s="11"/>
      <c r="N21" s="11"/>
      <c r="O21" s="11"/>
      <c r="P21" s="11"/>
      <c r="Q21" s="9"/>
      <c r="R21" s="9"/>
      <c r="S21" s="12" t="str">
        <f aca="false">IF(OR(Q21="",R21=""),"",Q21*R21)</f>
        <v/>
      </c>
      <c r="T21" s="13" t="str">
        <f aca="false">IF(S21="","",IF(S21&gt;='Start Here'!$A$35,"Critical",IF(S21&gt;='Start Here'!$A$36,"High",IF(S21&gt;='Start Here'!$A$37,"Medium","Low"))))</f>
        <v/>
      </c>
      <c r="U21" s="9"/>
    </row>
    <row r="22" customFormat="false" ht="15" hidden="false" customHeight="false" outlineLevel="0" collapsed="false">
      <c r="A22" s="11" t="s">
        <v>261</v>
      </c>
      <c r="B22" s="11"/>
      <c r="C22" s="11"/>
      <c r="D22" s="11"/>
      <c r="E22" s="11"/>
      <c r="F22" s="11"/>
      <c r="G22" s="9"/>
      <c r="H22" s="9"/>
      <c r="I22" s="12" t="str">
        <f aca="false">IF(OR(G22="",H22=""),"",G22*H22)</f>
        <v/>
      </c>
      <c r="J22" s="13" t="str">
        <f aca="false">IF(I22="","",IF(I22&gt;='Start Here'!$A$35,"Critical",IF(I22&gt;='Start Here'!$A$36,"High",IF(I22&gt;='Start Here'!$A$37,"Medium","Low"))))</f>
        <v/>
      </c>
      <c r="K22" s="11"/>
      <c r="L22" s="11"/>
      <c r="M22" s="11"/>
      <c r="N22" s="11"/>
      <c r="O22" s="11"/>
      <c r="P22" s="11"/>
      <c r="Q22" s="9"/>
      <c r="R22" s="9"/>
      <c r="S22" s="12" t="str">
        <f aca="false">IF(OR(Q22="",R22=""),"",Q22*R22)</f>
        <v/>
      </c>
      <c r="T22" s="13" t="str">
        <f aca="false">IF(S22="","",IF(S22&gt;='Start Here'!$A$35,"Critical",IF(S22&gt;='Start Here'!$A$36,"High",IF(S22&gt;='Start Here'!$A$37,"Medium","Low"))))</f>
        <v/>
      </c>
      <c r="U22" s="9"/>
    </row>
    <row r="23" customFormat="false" ht="15" hidden="false" customHeight="false" outlineLevel="0" collapsed="false">
      <c r="A23" s="11" t="s">
        <v>262</v>
      </c>
      <c r="B23" s="11"/>
      <c r="C23" s="11"/>
      <c r="D23" s="11"/>
      <c r="E23" s="11"/>
      <c r="F23" s="11"/>
      <c r="G23" s="9"/>
      <c r="H23" s="9"/>
      <c r="I23" s="12" t="str">
        <f aca="false">IF(OR(G23="",H23=""),"",G23*H23)</f>
        <v/>
      </c>
      <c r="J23" s="13" t="str">
        <f aca="false">IF(I23="","",IF(I23&gt;='Start Here'!$A$35,"Critical",IF(I23&gt;='Start Here'!$A$36,"High",IF(I23&gt;='Start Here'!$A$37,"Medium","Low"))))</f>
        <v/>
      </c>
      <c r="K23" s="11"/>
      <c r="L23" s="11"/>
      <c r="M23" s="11"/>
      <c r="N23" s="11"/>
      <c r="O23" s="11"/>
      <c r="P23" s="11"/>
      <c r="Q23" s="9"/>
      <c r="R23" s="9"/>
      <c r="S23" s="12" t="str">
        <f aca="false">IF(OR(Q23="",R23=""),"",Q23*R23)</f>
        <v/>
      </c>
      <c r="T23" s="13" t="str">
        <f aca="false">IF(S23="","",IF(S23&gt;='Start Here'!$A$35,"Critical",IF(S23&gt;='Start Here'!$A$36,"High",IF(S23&gt;='Start Here'!$A$37,"Medium","Low"))))</f>
        <v/>
      </c>
      <c r="U23" s="9"/>
    </row>
    <row r="24" customFormat="false" ht="15" hidden="false" customHeight="false" outlineLevel="0" collapsed="false">
      <c r="A24" s="11" t="s">
        <v>263</v>
      </c>
      <c r="B24" s="11"/>
      <c r="C24" s="11"/>
      <c r="D24" s="11"/>
      <c r="E24" s="11"/>
      <c r="F24" s="11"/>
      <c r="G24" s="9"/>
      <c r="H24" s="9"/>
      <c r="I24" s="12" t="str">
        <f aca="false">IF(OR(G24="",H24=""),"",G24*H24)</f>
        <v/>
      </c>
      <c r="J24" s="13" t="str">
        <f aca="false">IF(I24="","",IF(I24&gt;='Start Here'!$A$35,"Critical",IF(I24&gt;='Start Here'!$A$36,"High",IF(I24&gt;='Start Here'!$A$37,"Medium","Low"))))</f>
        <v/>
      </c>
      <c r="K24" s="11"/>
      <c r="L24" s="11"/>
      <c r="M24" s="11"/>
      <c r="N24" s="11"/>
      <c r="O24" s="11"/>
      <c r="P24" s="11"/>
      <c r="Q24" s="9"/>
      <c r="R24" s="9"/>
      <c r="S24" s="12" t="str">
        <f aca="false">IF(OR(Q24="",R24=""),"",Q24*R24)</f>
        <v/>
      </c>
      <c r="T24" s="13" t="str">
        <f aca="false">IF(S24="","",IF(S24&gt;='Start Here'!$A$35,"Critical",IF(S24&gt;='Start Here'!$A$36,"High",IF(S24&gt;='Start Here'!$A$37,"Medium","Low"))))</f>
        <v/>
      </c>
      <c r="U24" s="9"/>
    </row>
  </sheetData>
  <autoFilter ref="A4:U24"/>
  <conditionalFormatting sqref="J5:J24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T5:T24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4">
    <dataValidation allowBlank="false" error="Enter a whole number from 1 to 5" errorStyle="stop" operator="between" showDropDown="false" showErrorMessage="true" showInputMessage="false" sqref="G5:H24 Q5:R24" type="whole">
      <formula1>1</formula1>
      <formula2>5</formula2>
    </dataValidation>
    <dataValidation allowBlank="false" errorStyle="stop" operator="between" showDropDown="false" showErrorMessage="false" showInputMessage="false" sqref="K5:K24" type="list">
      <formula1>"Mitigate,Transfer,Avoid,Accept"</formula1>
      <formula2>0</formula2>
    </dataValidation>
    <dataValidation allowBlank="false" errorStyle="stop" operator="between" showDropDown="false" showErrorMessage="false" showInputMessage="false" sqref="U5:U24" type="list">
      <formula1>"Not Started,In Progress,Complete,Accepted"</formula1>
      <formula2>0</formula2>
    </dataValidation>
    <dataValidation allowBlank="false" errorStyle="stop" operator="between" showDropDown="false" showErrorMessage="false" showInputMessage="false" sqref="B5:B24" type="list">
      <formula1>'Asset Register'!$A$5:$A$12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6" min="2" style="0" width="12"/>
    <col collapsed="false" customWidth="true" hidden="false" outlineLevel="0" max="9" min="9" style="0" width="14"/>
    <col collapsed="false" customWidth="true" hidden="false" outlineLevel="0" max="11" min="10" style="0" width="11"/>
  </cols>
  <sheetData>
    <row r="1" customFormat="false" ht="19.7" hidden="false" customHeight="false" outlineLevel="0" collapsed="false">
      <c r="A1" s="1" t="s">
        <v>264</v>
      </c>
    </row>
    <row r="2" customFormat="false" ht="15" hidden="false" customHeight="false" outlineLevel="0" collapsed="false">
      <c r="A2" s="2" t="s">
        <v>265</v>
      </c>
    </row>
    <row r="4" customFormat="false" ht="15" hidden="false" customHeight="false" outlineLevel="0" collapsed="false">
      <c r="A4" s="3" t="s">
        <v>266</v>
      </c>
      <c r="I4" s="3" t="s">
        <v>267</v>
      </c>
    </row>
    <row r="5" customFormat="false" ht="15" hidden="false" customHeight="false" outlineLevel="0" collapsed="false">
      <c r="A5" s="14" t="s">
        <v>268</v>
      </c>
      <c r="B5" s="15" t="n">
        <v>1</v>
      </c>
      <c r="C5" s="15" t="n">
        <v>2</v>
      </c>
      <c r="D5" s="15" t="n">
        <v>3</v>
      </c>
      <c r="E5" s="15" t="n">
        <v>4</v>
      </c>
      <c r="F5" s="15" t="n">
        <v>5</v>
      </c>
      <c r="I5" s="15" t="s">
        <v>43</v>
      </c>
      <c r="J5" s="15" t="s">
        <v>269</v>
      </c>
      <c r="K5" s="15" t="s">
        <v>270</v>
      </c>
    </row>
    <row r="6" customFormat="false" ht="37.5" hidden="false" customHeight="true" outlineLevel="0" collapsed="false">
      <c r="A6" s="15" t="n">
        <v>5</v>
      </c>
      <c r="B6" s="16" t="n">
        <f aca="false">COUNTIFS('Risk Register'!$G$5:$G$24,B5,'Risk Register'!$H$5:$H$24,A6)</f>
        <v>1</v>
      </c>
      <c r="C6" s="17" t="n">
        <f aca="false">COUNTIFS('Risk Register'!$G$5:$G$24,C5,'Risk Register'!$H$5:$H$24,A6)</f>
        <v>0</v>
      </c>
      <c r="D6" s="18" t="n">
        <f aca="false">COUNTIFS('Risk Register'!$G$5:$G$24,D5,'Risk Register'!$H$5:$H$24,A6)</f>
        <v>4</v>
      </c>
      <c r="E6" s="19" t="n">
        <f aca="false">COUNTIFS('Risk Register'!$G$5:$G$24,E5,'Risk Register'!$H$5:$H$24,A6)</f>
        <v>1</v>
      </c>
      <c r="F6" s="19" t="n">
        <f aca="false">COUNTIFS('Risk Register'!$G$5:$G$24,F5,'Risk Register'!$H$5:$H$24,A6)</f>
        <v>1</v>
      </c>
      <c r="I6" s="13" t="s">
        <v>45</v>
      </c>
      <c r="J6" s="10" t="n">
        <f aca="false">COUNTIF('Risk Register'!$J$5:$J$24,I6)</f>
        <v>2</v>
      </c>
      <c r="K6" s="10" t="n">
        <f aca="false">COUNTIF('Risk Register'!$T$5:$T$24,I6)</f>
        <v>0</v>
      </c>
    </row>
    <row r="7" customFormat="false" ht="37.5" hidden="false" customHeight="true" outlineLevel="0" collapsed="false">
      <c r="A7" s="15" t="n">
        <v>4</v>
      </c>
      <c r="B7" s="16" t="n">
        <f aca="false">COUNTIFS('Risk Register'!$G$5:$G$24,B5,'Risk Register'!$H$5:$H$24,A7)</f>
        <v>0</v>
      </c>
      <c r="C7" s="17" t="n">
        <f aca="false">COUNTIFS('Risk Register'!$G$5:$G$24,C5,'Risk Register'!$H$5:$H$24,A7)</f>
        <v>0</v>
      </c>
      <c r="D7" s="18" t="n">
        <f aca="false">COUNTIFS('Risk Register'!$G$5:$G$24,D5,'Risk Register'!$H$5:$H$24,A7)</f>
        <v>3</v>
      </c>
      <c r="E7" s="18" t="n">
        <f aca="false">COUNTIFS('Risk Register'!$G$5:$G$24,E5,'Risk Register'!$H$5:$H$24,A7)</f>
        <v>3</v>
      </c>
      <c r="F7" s="19" t="n">
        <f aca="false">COUNTIFS('Risk Register'!$G$5:$G$24,F5,'Risk Register'!$H$5:$H$24,A7)</f>
        <v>0</v>
      </c>
      <c r="I7" s="13" t="s">
        <v>47</v>
      </c>
      <c r="J7" s="10" t="n">
        <f aca="false">COUNTIF('Risk Register'!$J$5:$J$24,I7)</f>
        <v>11</v>
      </c>
      <c r="K7" s="10" t="n">
        <f aca="false">COUNTIF('Risk Register'!$T$5:$T$24,I7)</f>
        <v>0</v>
      </c>
    </row>
    <row r="8" customFormat="false" ht="37.5" hidden="false" customHeight="true" outlineLevel="0" collapsed="false">
      <c r="A8" s="15" t="n">
        <v>3</v>
      </c>
      <c r="B8" s="16" t="n">
        <f aca="false">COUNTIFS('Risk Register'!$G$5:$G$24,B5,'Risk Register'!$H$5:$H$24,A8)</f>
        <v>0</v>
      </c>
      <c r="C8" s="17" t="n">
        <f aca="false">COUNTIFS('Risk Register'!$G$5:$G$24,C5,'Risk Register'!$H$5:$H$24,A8)</f>
        <v>0</v>
      </c>
      <c r="D8" s="17" t="n">
        <f aca="false">COUNTIFS('Risk Register'!$G$5:$G$24,D5,'Risk Register'!$H$5:$H$24,A8)</f>
        <v>1</v>
      </c>
      <c r="E8" s="18" t="n">
        <f aca="false">COUNTIFS('Risk Register'!$G$5:$G$24,E5,'Risk Register'!$H$5:$H$24,A8)</f>
        <v>1</v>
      </c>
      <c r="F8" s="18" t="n">
        <f aca="false">COUNTIFS('Risk Register'!$G$5:$G$24,F5,'Risk Register'!$H$5:$H$24,A8)</f>
        <v>0</v>
      </c>
      <c r="I8" s="13" t="s">
        <v>49</v>
      </c>
      <c r="J8" s="10" t="n">
        <f aca="false">COUNTIF('Risk Register'!$J$5:$J$24,I8)</f>
        <v>1</v>
      </c>
      <c r="K8" s="10" t="n">
        <f aca="false">COUNTIF('Risk Register'!$T$5:$T$24,I8)</f>
        <v>13</v>
      </c>
    </row>
    <row r="9" customFormat="false" ht="37.5" hidden="false" customHeight="true" outlineLevel="0" collapsed="false">
      <c r="A9" s="15" t="n">
        <v>2</v>
      </c>
      <c r="B9" s="16" t="n">
        <f aca="false">COUNTIFS('Risk Register'!$G$5:$G$24,B5,'Risk Register'!$H$5:$H$24,A9)</f>
        <v>0</v>
      </c>
      <c r="C9" s="16" t="n">
        <f aca="false">COUNTIFS('Risk Register'!$G$5:$G$24,C5,'Risk Register'!$H$5:$H$24,A9)</f>
        <v>0</v>
      </c>
      <c r="D9" s="17" t="n">
        <f aca="false">COUNTIFS('Risk Register'!$G$5:$G$24,D5,'Risk Register'!$H$5:$H$24,A9)</f>
        <v>0</v>
      </c>
      <c r="E9" s="17" t="n">
        <f aca="false">COUNTIFS('Risk Register'!$G$5:$G$24,E5,'Risk Register'!$H$5:$H$24,A9)</f>
        <v>0</v>
      </c>
      <c r="F9" s="17" t="n">
        <f aca="false">COUNTIFS('Risk Register'!$G$5:$G$24,F5,'Risk Register'!$H$5:$H$24,A9)</f>
        <v>0</v>
      </c>
      <c r="I9" s="13" t="s">
        <v>51</v>
      </c>
      <c r="J9" s="10" t="n">
        <f aca="false">COUNTIF('Risk Register'!$J$5:$J$24,I9)</f>
        <v>1</v>
      </c>
      <c r="K9" s="10" t="n">
        <f aca="false">COUNTIF('Risk Register'!$T$5:$T$24,I9)</f>
        <v>2</v>
      </c>
    </row>
    <row r="10" customFormat="false" ht="37.5" hidden="false" customHeight="true" outlineLevel="0" collapsed="false">
      <c r="A10" s="15" t="n">
        <v>1</v>
      </c>
      <c r="B10" s="16" t="n">
        <f aca="false">COUNTIFS('Risk Register'!$G$5:$G$24,B5,'Risk Register'!$H$5:$H$24,A10)</f>
        <v>0</v>
      </c>
      <c r="C10" s="16" t="n">
        <f aca="false">COUNTIFS('Risk Register'!$G$5:$G$24,C5,'Risk Register'!$H$5:$H$24,A10)</f>
        <v>0</v>
      </c>
      <c r="D10" s="16" t="n">
        <f aca="false">COUNTIFS('Risk Register'!$G$5:$G$24,D5,'Risk Register'!$H$5:$H$24,A10)</f>
        <v>0</v>
      </c>
      <c r="E10" s="16" t="n">
        <f aca="false">COUNTIFS('Risk Register'!$G$5:$G$24,E5,'Risk Register'!$H$5:$H$24,A10)</f>
        <v>0</v>
      </c>
      <c r="F10" s="16" t="n">
        <f aca="false">COUNTIFS('Risk Register'!$G$5:$G$24,F5,'Risk Register'!$H$5:$H$24,A10)</f>
        <v>0</v>
      </c>
      <c r="I10" s="14" t="s">
        <v>271</v>
      </c>
      <c r="J10" s="14" t="n">
        <f aca="false">SUM(J6:J9)</f>
        <v>15</v>
      </c>
      <c r="K10" s="14" t="n">
        <f aca="false">SUM(K6:K9)</f>
        <v>15</v>
      </c>
    </row>
    <row r="12" customFormat="false" ht="15" hidden="false" customHeight="false" outlineLevel="0" collapsed="false">
      <c r="I12" s="3" t="s">
        <v>272</v>
      </c>
    </row>
    <row r="13" customFormat="false" ht="15" hidden="false" customHeight="false" outlineLevel="0" collapsed="false">
      <c r="A13" s="3" t="s">
        <v>273</v>
      </c>
      <c r="I13" s="14" t="s">
        <v>269</v>
      </c>
      <c r="J13" s="20" t="n">
        <f aca="false">IFERROR(AVERAGE('Risk Register'!$I$5:$I$24),0)</f>
        <v>14.3333333333333</v>
      </c>
    </row>
    <row r="14" customFormat="false" ht="15" hidden="false" customHeight="false" outlineLevel="0" collapsed="false">
      <c r="A14" s="14" t="s">
        <v>268</v>
      </c>
      <c r="B14" s="15" t="n">
        <v>1</v>
      </c>
      <c r="C14" s="15" t="n">
        <v>2</v>
      </c>
      <c r="D14" s="15" t="n">
        <v>3</v>
      </c>
      <c r="E14" s="15" t="n">
        <v>4</v>
      </c>
      <c r="F14" s="15" t="n">
        <v>5</v>
      </c>
      <c r="I14" s="14" t="s">
        <v>270</v>
      </c>
      <c r="J14" s="20" t="n">
        <f aca="false">IFERROR(AVERAGE('Risk Register'!$S$5:$S$24),0)</f>
        <v>7.26666666666667</v>
      </c>
    </row>
    <row r="15" customFormat="false" ht="37.5" hidden="false" customHeight="true" outlineLevel="0" collapsed="false">
      <c r="A15" s="15" t="n">
        <v>5</v>
      </c>
      <c r="B15" s="16" t="n">
        <f aca="false">COUNTIFS('Risk Register'!$Q$5:$Q$24,B14,'Risk Register'!$R$5:$R$24,A15)</f>
        <v>1</v>
      </c>
      <c r="C15" s="17" t="n">
        <f aca="false">COUNTIFS('Risk Register'!$Q$5:$Q$24,C14,'Risk Register'!$R$5:$R$24,A15)</f>
        <v>2</v>
      </c>
      <c r="D15" s="18" t="n">
        <f aca="false">COUNTIFS('Risk Register'!$Q$5:$Q$24,D14,'Risk Register'!$R$5:$R$24,A15)</f>
        <v>0</v>
      </c>
      <c r="E15" s="19" t="n">
        <f aca="false">COUNTIFS('Risk Register'!$Q$5:$Q$24,E14,'Risk Register'!$R$5:$R$24,A15)</f>
        <v>0</v>
      </c>
      <c r="F15" s="19" t="n">
        <f aca="false">COUNTIFS('Risk Register'!$Q$5:$Q$24,F14,'Risk Register'!$R$5:$R$24,A15)</f>
        <v>0</v>
      </c>
      <c r="I15" s="14" t="s">
        <v>274</v>
      </c>
      <c r="J15" s="21" t="n">
        <f aca="false">IFERROR(1-J14/J13,0)</f>
        <v>0.493023255813954</v>
      </c>
    </row>
    <row r="16" customFormat="false" ht="37.5" hidden="false" customHeight="true" outlineLevel="0" collapsed="false">
      <c r="A16" s="15" t="n">
        <v>4</v>
      </c>
      <c r="B16" s="16" t="n">
        <f aca="false">COUNTIFS('Risk Register'!$Q$5:$Q$24,B14,'Risk Register'!$R$5:$R$24,A16)</f>
        <v>0</v>
      </c>
      <c r="C16" s="17" t="n">
        <f aca="false">COUNTIFS('Risk Register'!$Q$5:$Q$24,C14,'Risk Register'!$R$5:$R$24,A16)</f>
        <v>5</v>
      </c>
      <c r="D16" s="18" t="n">
        <f aca="false">COUNTIFS('Risk Register'!$Q$5:$Q$24,D14,'Risk Register'!$R$5:$R$24,A16)</f>
        <v>0</v>
      </c>
      <c r="E16" s="18" t="n">
        <f aca="false">COUNTIFS('Risk Register'!$Q$5:$Q$24,E14,'Risk Register'!$R$5:$R$24,A16)</f>
        <v>0</v>
      </c>
      <c r="F16" s="19" t="n">
        <f aca="false">COUNTIFS('Risk Register'!$Q$5:$Q$24,F14,'Risk Register'!$R$5:$R$24,A16)</f>
        <v>0</v>
      </c>
    </row>
    <row r="17" customFormat="false" ht="37.5" hidden="false" customHeight="true" outlineLevel="0" collapsed="false">
      <c r="A17" s="15" t="n">
        <v>3</v>
      </c>
      <c r="B17" s="16" t="n">
        <f aca="false">COUNTIFS('Risk Register'!$Q$5:$Q$24,B14,'Risk Register'!$R$5:$R$24,A17)</f>
        <v>0</v>
      </c>
      <c r="C17" s="17" t="n">
        <f aca="false">COUNTIFS('Risk Register'!$Q$5:$Q$24,C14,'Risk Register'!$R$5:$R$24,A17)</f>
        <v>4</v>
      </c>
      <c r="D17" s="17" t="n">
        <f aca="false">COUNTIFS('Risk Register'!$Q$5:$Q$24,D14,'Risk Register'!$R$5:$R$24,A17)</f>
        <v>2</v>
      </c>
      <c r="E17" s="18" t="n">
        <f aca="false">COUNTIFS('Risk Register'!$Q$5:$Q$24,E14,'Risk Register'!$R$5:$R$24,A17)</f>
        <v>0</v>
      </c>
      <c r="F17" s="18" t="n">
        <f aca="false">COUNTIFS('Risk Register'!$Q$5:$Q$24,F14,'Risk Register'!$R$5:$R$24,A17)</f>
        <v>0</v>
      </c>
    </row>
    <row r="18" customFormat="false" ht="37.5" hidden="false" customHeight="true" outlineLevel="0" collapsed="false">
      <c r="A18" s="15" t="n">
        <v>2</v>
      </c>
      <c r="B18" s="16" t="n">
        <f aca="false">COUNTIFS('Risk Register'!$Q$5:$Q$24,B14,'Risk Register'!$R$5:$R$24,A18)</f>
        <v>1</v>
      </c>
      <c r="C18" s="16" t="n">
        <f aca="false">COUNTIFS('Risk Register'!$Q$5:$Q$24,C14,'Risk Register'!$R$5:$R$24,A18)</f>
        <v>0</v>
      </c>
      <c r="D18" s="17" t="n">
        <f aca="false">COUNTIFS('Risk Register'!$Q$5:$Q$24,D14,'Risk Register'!$R$5:$R$24,A18)</f>
        <v>0</v>
      </c>
      <c r="E18" s="17" t="n">
        <f aca="false">COUNTIFS('Risk Register'!$Q$5:$Q$24,E14,'Risk Register'!$R$5:$R$24,A18)</f>
        <v>0</v>
      </c>
      <c r="F18" s="17" t="n">
        <f aca="false">COUNTIFS('Risk Register'!$Q$5:$Q$24,F14,'Risk Register'!$R$5:$R$24,A18)</f>
        <v>0</v>
      </c>
    </row>
    <row r="19" customFormat="false" ht="37.5" hidden="false" customHeight="true" outlineLevel="0" collapsed="false">
      <c r="A19" s="15" t="n">
        <v>1</v>
      </c>
      <c r="B19" s="16" t="n">
        <f aca="false">COUNTIFS('Risk Register'!$Q$5:$Q$24,B14,'Risk Register'!$R$5:$R$24,A19)</f>
        <v>0</v>
      </c>
      <c r="C19" s="16" t="n">
        <f aca="false">COUNTIFS('Risk Register'!$Q$5:$Q$24,C14,'Risk Register'!$R$5:$R$24,A19)</f>
        <v>0</v>
      </c>
      <c r="D19" s="16" t="n">
        <f aca="false">COUNTIFS('Risk Register'!$Q$5:$Q$24,D14,'Risk Register'!$R$5:$R$24,A19)</f>
        <v>0</v>
      </c>
      <c r="E19" s="16" t="n">
        <f aca="false">COUNTIFS('Risk Register'!$Q$5:$Q$24,E14,'Risk Register'!$R$5:$R$24,A19)</f>
        <v>0</v>
      </c>
      <c r="F19" s="16" t="n">
        <f aca="false">COUNTIFS('Risk Register'!$Q$5:$Q$24,F14,'Risk Register'!$R$5:$R$24,A19)</f>
        <v>0</v>
      </c>
    </row>
  </sheetData>
  <conditionalFormatting sqref="I6:I9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48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1" min="11" style="0" width="18"/>
    <col collapsed="false" customWidth="true" hidden="false" outlineLevel="0" max="13" min="12" style="0" width="8"/>
  </cols>
  <sheetData>
    <row r="1" customFormat="false" ht="19.7" hidden="false" customHeight="false" outlineLevel="0" collapsed="false">
      <c r="A1" s="1" t="s">
        <v>275</v>
      </c>
    </row>
    <row r="2" customFormat="false" ht="15" hidden="false" customHeight="false" outlineLevel="0" collapsed="false">
      <c r="A2" s="2" t="s">
        <v>276</v>
      </c>
    </row>
    <row r="4" customFormat="false" ht="23.85" hidden="false" customHeight="false" outlineLevel="0" collapsed="false">
      <c r="A4" s="6" t="s">
        <v>277</v>
      </c>
      <c r="B4" s="6" t="s">
        <v>278</v>
      </c>
      <c r="C4" s="6" t="s">
        <v>116</v>
      </c>
      <c r="D4" s="6" t="s">
        <v>117</v>
      </c>
      <c r="E4" s="6" t="s">
        <v>279</v>
      </c>
      <c r="F4" s="6" t="s">
        <v>124</v>
      </c>
      <c r="G4" s="6" t="s">
        <v>280</v>
      </c>
      <c r="H4" s="6" t="s">
        <v>281</v>
      </c>
      <c r="I4" s="6" t="s">
        <v>282</v>
      </c>
      <c r="K4" s="3" t="s">
        <v>283</v>
      </c>
    </row>
    <row r="5" customFormat="false" ht="23.85" hidden="false" customHeight="false" outlineLevel="0" collapsed="false">
      <c r="A5" s="7" t="s">
        <v>284</v>
      </c>
      <c r="B5" s="7" t="s">
        <v>285</v>
      </c>
      <c r="C5" s="7" t="s">
        <v>286</v>
      </c>
      <c r="D5" s="7" t="s">
        <v>197</v>
      </c>
      <c r="E5" s="7" t="s">
        <v>287</v>
      </c>
      <c r="F5" s="9" t="s">
        <v>288</v>
      </c>
      <c r="G5" s="11" t="s">
        <v>289</v>
      </c>
      <c r="H5" s="7" t="s">
        <v>290</v>
      </c>
      <c r="I5" s="9" t="s">
        <v>47</v>
      </c>
      <c r="K5" s="14" t="s">
        <v>291</v>
      </c>
      <c r="L5" s="2" t="n">
        <f aca="false">COUNTIF($F$5:$F$30,K5)</f>
        <v>1</v>
      </c>
      <c r="M5" s="22" t="n">
        <f aca="false">IFERROR(L5/SUM($L$5:$L$7),0)</f>
        <v>0.0714285714285714</v>
      </c>
    </row>
    <row r="6" customFormat="false" ht="23.85" hidden="false" customHeight="false" outlineLevel="0" collapsed="false">
      <c r="A6" s="7" t="s">
        <v>292</v>
      </c>
      <c r="B6" s="7" t="s">
        <v>293</v>
      </c>
      <c r="C6" s="7" t="s">
        <v>294</v>
      </c>
      <c r="D6" s="7" t="s">
        <v>154</v>
      </c>
      <c r="E6" s="7" t="s">
        <v>295</v>
      </c>
      <c r="F6" s="9" t="s">
        <v>296</v>
      </c>
      <c r="G6" s="11" t="s">
        <v>297</v>
      </c>
      <c r="H6" s="7" t="s">
        <v>298</v>
      </c>
      <c r="I6" s="9" t="s">
        <v>47</v>
      </c>
      <c r="K6" s="14" t="s">
        <v>288</v>
      </c>
      <c r="L6" s="2" t="n">
        <f aca="false">COUNTIF($F$5:$F$30,K6)</f>
        <v>10</v>
      </c>
      <c r="M6" s="22" t="n">
        <f aca="false">IFERROR(L6/SUM($L$5:$L$7),0)</f>
        <v>0.714285714285714</v>
      </c>
    </row>
    <row r="7" customFormat="false" ht="23.85" hidden="false" customHeight="false" outlineLevel="0" collapsed="false">
      <c r="A7" s="7" t="s">
        <v>299</v>
      </c>
      <c r="B7" s="7" t="s">
        <v>300</v>
      </c>
      <c r="C7" s="7" t="s">
        <v>153</v>
      </c>
      <c r="D7" s="7" t="s">
        <v>154</v>
      </c>
      <c r="E7" s="7" t="s">
        <v>295</v>
      </c>
      <c r="F7" s="9" t="s">
        <v>288</v>
      </c>
      <c r="G7" s="11" t="s">
        <v>301</v>
      </c>
      <c r="H7" s="7" t="s">
        <v>147</v>
      </c>
      <c r="I7" s="9" t="s">
        <v>47</v>
      </c>
      <c r="K7" s="14" t="s">
        <v>296</v>
      </c>
      <c r="L7" s="2" t="n">
        <f aca="false">COUNTIF($F$5:$F$30,K7)</f>
        <v>3</v>
      </c>
      <c r="M7" s="22" t="n">
        <f aca="false">IFERROR(L7/SUM($L$5:$L$7),0)</f>
        <v>0.214285714285714</v>
      </c>
    </row>
    <row r="8" customFormat="false" ht="23.85" hidden="false" customHeight="false" outlineLevel="0" collapsed="false">
      <c r="A8" s="7" t="s">
        <v>302</v>
      </c>
      <c r="B8" s="7" t="s">
        <v>303</v>
      </c>
      <c r="C8" s="7" t="s">
        <v>304</v>
      </c>
      <c r="D8" s="7" t="s">
        <v>305</v>
      </c>
      <c r="E8" s="7" t="s">
        <v>295</v>
      </c>
      <c r="F8" s="9" t="s">
        <v>296</v>
      </c>
      <c r="G8" s="11" t="s">
        <v>306</v>
      </c>
      <c r="H8" s="7" t="s">
        <v>307</v>
      </c>
      <c r="I8" s="9" t="s">
        <v>47</v>
      </c>
      <c r="K8" s="14" t="s">
        <v>271</v>
      </c>
      <c r="L8" s="14" t="n">
        <f aca="false">SUM(L5:L7)</f>
        <v>14</v>
      </c>
    </row>
    <row r="9" customFormat="false" ht="23.85" hidden="false" customHeight="false" outlineLevel="0" collapsed="false">
      <c r="A9" s="7" t="s">
        <v>308</v>
      </c>
      <c r="B9" s="7" t="s">
        <v>309</v>
      </c>
      <c r="C9" s="7" t="s">
        <v>310</v>
      </c>
      <c r="D9" s="7" t="s">
        <v>311</v>
      </c>
      <c r="E9" s="7" t="s">
        <v>312</v>
      </c>
      <c r="F9" s="9" t="s">
        <v>288</v>
      </c>
      <c r="G9" s="11" t="s">
        <v>313</v>
      </c>
      <c r="H9" s="7" t="s">
        <v>165</v>
      </c>
      <c r="I9" s="9" t="s">
        <v>49</v>
      </c>
    </row>
    <row r="10" customFormat="false" ht="23.85" hidden="false" customHeight="false" outlineLevel="0" collapsed="false">
      <c r="A10" s="7" t="s">
        <v>314</v>
      </c>
      <c r="B10" s="7" t="s">
        <v>315</v>
      </c>
      <c r="C10" s="7" t="s">
        <v>316</v>
      </c>
      <c r="D10" s="7" t="s">
        <v>317</v>
      </c>
      <c r="E10" s="7" t="s">
        <v>318</v>
      </c>
      <c r="F10" s="9" t="s">
        <v>288</v>
      </c>
      <c r="G10" s="11" t="s">
        <v>319</v>
      </c>
      <c r="H10" s="7" t="s">
        <v>173</v>
      </c>
      <c r="I10" s="9" t="s">
        <v>47</v>
      </c>
    </row>
    <row r="11" customFormat="false" ht="23.85" hidden="false" customHeight="false" outlineLevel="0" collapsed="false">
      <c r="A11" s="7" t="s">
        <v>320</v>
      </c>
      <c r="B11" s="7" t="s">
        <v>321</v>
      </c>
      <c r="C11" s="7" t="s">
        <v>322</v>
      </c>
      <c r="D11" s="7" t="s">
        <v>189</v>
      </c>
      <c r="E11" s="7" t="s">
        <v>323</v>
      </c>
      <c r="F11" s="9" t="s">
        <v>288</v>
      </c>
      <c r="G11" s="11" t="s">
        <v>324</v>
      </c>
      <c r="H11" s="7" t="s">
        <v>182</v>
      </c>
      <c r="I11" s="9" t="s">
        <v>47</v>
      </c>
    </row>
    <row r="12" customFormat="false" ht="23.85" hidden="false" customHeight="false" outlineLevel="0" collapsed="false">
      <c r="A12" s="7" t="s">
        <v>325</v>
      </c>
      <c r="B12" s="7" t="s">
        <v>326</v>
      </c>
      <c r="C12" s="7" t="s">
        <v>143</v>
      </c>
      <c r="D12" s="7" t="s">
        <v>327</v>
      </c>
      <c r="E12" s="7" t="s">
        <v>328</v>
      </c>
      <c r="F12" s="9" t="s">
        <v>296</v>
      </c>
      <c r="G12" s="11" t="s">
        <v>329</v>
      </c>
      <c r="H12" s="7" t="s">
        <v>330</v>
      </c>
      <c r="I12" s="9" t="s">
        <v>47</v>
      </c>
    </row>
    <row r="13" customFormat="false" ht="23.85" hidden="false" customHeight="false" outlineLevel="0" collapsed="false">
      <c r="A13" s="7" t="s">
        <v>331</v>
      </c>
      <c r="B13" s="7" t="s">
        <v>332</v>
      </c>
      <c r="C13" s="7" t="s">
        <v>196</v>
      </c>
      <c r="D13" s="7" t="s">
        <v>197</v>
      </c>
      <c r="E13" s="7" t="s">
        <v>287</v>
      </c>
      <c r="F13" s="9" t="s">
        <v>288</v>
      </c>
      <c r="G13" s="11" t="s">
        <v>333</v>
      </c>
      <c r="H13" s="7" t="s">
        <v>190</v>
      </c>
      <c r="I13" s="9" t="s">
        <v>47</v>
      </c>
    </row>
    <row r="14" customFormat="false" ht="23.85" hidden="false" customHeight="false" outlineLevel="0" collapsed="false">
      <c r="A14" s="7" t="s">
        <v>334</v>
      </c>
      <c r="B14" s="7" t="s">
        <v>335</v>
      </c>
      <c r="C14" s="7" t="s">
        <v>336</v>
      </c>
      <c r="D14" s="7" t="s">
        <v>337</v>
      </c>
      <c r="E14" s="7" t="s">
        <v>328</v>
      </c>
      <c r="F14" s="9" t="s">
        <v>288</v>
      </c>
      <c r="G14" s="11" t="s">
        <v>338</v>
      </c>
      <c r="H14" s="7" t="s">
        <v>199</v>
      </c>
      <c r="I14" s="9" t="s">
        <v>49</v>
      </c>
    </row>
    <row r="15" customFormat="false" ht="23.85" hidden="false" customHeight="false" outlineLevel="0" collapsed="false">
      <c r="A15" s="7" t="s">
        <v>339</v>
      </c>
      <c r="B15" s="7" t="s">
        <v>340</v>
      </c>
      <c r="C15" s="7" t="s">
        <v>214</v>
      </c>
      <c r="D15" s="7" t="s">
        <v>341</v>
      </c>
      <c r="E15" s="7" t="s">
        <v>342</v>
      </c>
      <c r="F15" s="9" t="s">
        <v>288</v>
      </c>
      <c r="G15" s="11" t="s">
        <v>343</v>
      </c>
      <c r="H15" s="7" t="s">
        <v>208</v>
      </c>
      <c r="I15" s="9" t="s">
        <v>49</v>
      </c>
    </row>
    <row r="16" customFormat="false" ht="23.85" hidden="false" customHeight="false" outlineLevel="0" collapsed="false">
      <c r="A16" s="7" t="s">
        <v>344</v>
      </c>
      <c r="B16" s="7" t="s">
        <v>345</v>
      </c>
      <c r="C16" s="7" t="s">
        <v>238</v>
      </c>
      <c r="D16" s="7" t="s">
        <v>239</v>
      </c>
      <c r="E16" s="7" t="s">
        <v>328</v>
      </c>
      <c r="F16" s="9" t="s">
        <v>288</v>
      </c>
      <c r="G16" s="11" t="s">
        <v>346</v>
      </c>
      <c r="H16" s="7" t="s">
        <v>232</v>
      </c>
      <c r="I16" s="9" t="s">
        <v>49</v>
      </c>
    </row>
    <row r="17" customFormat="false" ht="15" hidden="false" customHeight="false" outlineLevel="0" collapsed="false">
      <c r="A17" s="7" t="s">
        <v>347</v>
      </c>
      <c r="B17" s="7" t="s">
        <v>348</v>
      </c>
      <c r="C17" s="7" t="s">
        <v>349</v>
      </c>
      <c r="D17" s="7" t="s">
        <v>247</v>
      </c>
      <c r="E17" s="7" t="s">
        <v>350</v>
      </c>
      <c r="F17" s="9" t="s">
        <v>288</v>
      </c>
      <c r="G17" s="11" t="s">
        <v>351</v>
      </c>
      <c r="H17" s="7" t="s">
        <v>240</v>
      </c>
      <c r="I17" s="9" t="s">
        <v>49</v>
      </c>
    </row>
    <row r="18" customFormat="false" ht="23.85" hidden="false" customHeight="false" outlineLevel="0" collapsed="false">
      <c r="A18" s="7" t="s">
        <v>352</v>
      </c>
      <c r="B18" s="7" t="s">
        <v>353</v>
      </c>
      <c r="C18" s="7" t="s">
        <v>354</v>
      </c>
      <c r="D18" s="7" t="s">
        <v>355</v>
      </c>
      <c r="E18" s="7" t="s">
        <v>295</v>
      </c>
      <c r="F18" s="9" t="s">
        <v>291</v>
      </c>
      <c r="G18" s="11" t="s">
        <v>356</v>
      </c>
      <c r="H18" s="7" t="s">
        <v>357</v>
      </c>
      <c r="I18" s="9" t="s">
        <v>51</v>
      </c>
    </row>
  </sheetData>
  <conditionalFormatting sqref="F5:F30">
    <cfRule type="cellIs" priority="2" operator="equal" aboveAverage="0" equalAverage="0" bottom="0" percent="0" rank="0" text="" dxfId="12">
      <formula>"Implemented"</formula>
    </cfRule>
    <cfRule type="cellIs" priority="3" operator="equal" aboveAverage="0" equalAverage="0" bottom="0" percent="0" rank="0" text="" dxfId="13">
      <formula>"Partial"</formula>
    </cfRule>
    <cfRule type="cellIs" priority="4" operator="equal" aboveAverage="0" equalAverage="0" bottom="0" percent="0" rank="0" text="" dxfId="14">
      <formula>"Not Implemented"</formula>
    </cfRule>
  </conditionalFormatting>
  <dataValidations count="1">
    <dataValidation allowBlank="false" errorStyle="stop" operator="between" showDropDown="false" showErrorMessage="false" showInputMessage="false" sqref="F5:F30" type="list">
      <formula1>"Implemented,Partial,Not Implemented"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46"/>
    <col collapsed="false" customWidth="true" hidden="false" outlineLevel="0" max="12" min="12" style="0" width="10"/>
  </cols>
  <sheetData>
    <row r="1" customFormat="false" ht="19.7" hidden="false" customHeight="false" outlineLevel="0" collapsed="false">
      <c r="A1" s="1" t="s">
        <v>358</v>
      </c>
    </row>
    <row r="2" customFormat="false" ht="15" hidden="false" customHeight="false" outlineLevel="0" collapsed="false">
      <c r="A2" s="2" t="s">
        <v>359</v>
      </c>
    </row>
    <row r="4" customFormat="false" ht="42" hidden="false" customHeight="true" outlineLevel="0" collapsed="false">
      <c r="A4" s="6" t="s">
        <v>360</v>
      </c>
      <c r="B4" s="6" t="s">
        <v>361</v>
      </c>
      <c r="C4" s="6" t="s">
        <v>362</v>
      </c>
      <c r="D4" s="6" t="s">
        <v>363</v>
      </c>
      <c r="E4" s="6" t="s">
        <v>364</v>
      </c>
      <c r="F4" s="6" t="s">
        <v>365</v>
      </c>
      <c r="G4" s="6" t="s">
        <v>366</v>
      </c>
      <c r="H4" s="6" t="s">
        <v>367</v>
      </c>
      <c r="I4" s="6" t="s">
        <v>368</v>
      </c>
      <c r="J4" s="6" t="s">
        <v>55</v>
      </c>
      <c r="K4" s="6" t="s">
        <v>369</v>
      </c>
      <c r="L4" s="6" t="s">
        <v>370</v>
      </c>
    </row>
    <row r="5" customFormat="false" ht="23.85" hidden="false" customHeight="false" outlineLevel="0" collapsed="false">
      <c r="A5" s="7" t="s">
        <v>371</v>
      </c>
      <c r="B5" s="7" t="s">
        <v>372</v>
      </c>
      <c r="C5" s="7" t="s">
        <v>373</v>
      </c>
      <c r="D5" s="9" t="n">
        <v>3</v>
      </c>
      <c r="E5" s="9" t="n">
        <v>3</v>
      </c>
      <c r="F5" s="9" t="n">
        <v>3</v>
      </c>
      <c r="G5" s="9" t="n">
        <v>3</v>
      </c>
      <c r="H5" s="12" t="n">
        <f aca="false">IF(COUNT(D5:G5)=0,"",SUM(D5:G5))</f>
        <v>12</v>
      </c>
      <c r="I5" s="9" t="s">
        <v>374</v>
      </c>
      <c r="J5" s="13" t="str">
        <f aca="false">IF(H5="","",IF(I5="Yes","Critical",IF(H5&gt;='Start Here'!$A$42,"Critical",IF(H5&gt;='Start Here'!$A$43,"High",IF(H5&gt;='Start Here'!$A$44,"Medium","Low")))))</f>
        <v>Critical</v>
      </c>
      <c r="K5" s="7" t="str">
        <f aca="false">IF(J5="","",INDEX('Start Here'!$C$42:$C$45,MATCH(J5,'Start Here'!$B$42:$B$45,0)))</f>
        <v>Continuous monitoring + annual on-site/virtual audit + SOC 2 Type II or HITRUST</v>
      </c>
      <c r="L5" s="10" t="str">
        <f aca="false">IF(D5="","",IF(D5&gt;0,"Yes","No"))</f>
        <v>Yes</v>
      </c>
    </row>
    <row r="6" customFormat="false" ht="23.85" hidden="false" customHeight="false" outlineLevel="0" collapsed="false">
      <c r="A6" s="7" t="s">
        <v>375</v>
      </c>
      <c r="B6" s="7" t="s">
        <v>376</v>
      </c>
      <c r="C6" s="7" t="s">
        <v>377</v>
      </c>
      <c r="D6" s="9" t="n">
        <v>3</v>
      </c>
      <c r="E6" s="9" t="n">
        <v>3</v>
      </c>
      <c r="F6" s="9" t="n">
        <v>3</v>
      </c>
      <c r="G6" s="9" t="n">
        <v>3</v>
      </c>
      <c r="H6" s="12" t="n">
        <f aca="false">IF(COUNT(D6:G6)=0,"",SUM(D6:G6))</f>
        <v>12</v>
      </c>
      <c r="I6" s="9" t="s">
        <v>374</v>
      </c>
      <c r="J6" s="13" t="str">
        <f aca="false">IF(H6="","",IF(I6="Yes","Critical",IF(H6&gt;='Start Here'!$A$42,"Critical",IF(H6&gt;='Start Here'!$A$43,"High",IF(H6&gt;='Start Here'!$A$44,"Medium","Low")))))</f>
        <v>Critical</v>
      </c>
      <c r="K6" s="7" t="str">
        <f aca="false">IF(J6="","",INDEX('Start Here'!$C$42:$C$45,MATCH(J6,'Start Here'!$B$42:$B$45,0)))</f>
        <v>Continuous monitoring + annual on-site/virtual audit + SOC 2 Type II or HITRUST</v>
      </c>
      <c r="L6" s="10" t="str">
        <f aca="false">IF(D6="","",IF(D6&gt;0,"Yes","No"))</f>
        <v>Yes</v>
      </c>
    </row>
    <row r="7" customFormat="false" ht="23.85" hidden="false" customHeight="false" outlineLevel="0" collapsed="false">
      <c r="A7" s="7" t="s">
        <v>378</v>
      </c>
      <c r="B7" s="7" t="s">
        <v>379</v>
      </c>
      <c r="C7" s="7" t="s">
        <v>380</v>
      </c>
      <c r="D7" s="9" t="n">
        <v>3</v>
      </c>
      <c r="E7" s="9" t="n">
        <v>2</v>
      </c>
      <c r="F7" s="9" t="n">
        <v>3</v>
      </c>
      <c r="G7" s="9" t="n">
        <v>2</v>
      </c>
      <c r="H7" s="12" t="n">
        <f aca="false">IF(COUNT(D7:G7)=0,"",SUM(D7:G7))</f>
        <v>10</v>
      </c>
      <c r="I7" s="9" t="s">
        <v>381</v>
      </c>
      <c r="J7" s="13" t="str">
        <f aca="false">IF(H7="","",IF(I7="Yes","Critical",IF(H7&gt;='Start Here'!$A$42,"Critical",IF(H7&gt;='Start Here'!$A$43,"High",IF(H7&gt;='Start Here'!$A$44,"Medium","Low")))))</f>
        <v>Critical</v>
      </c>
      <c r="K7" s="7" t="str">
        <f aca="false">IF(J7="","",INDEX('Start Here'!$C$42:$C$45,MATCH(J7,'Start Here'!$B$42:$B$45,0)))</f>
        <v>Continuous monitoring + annual on-site/virtual audit + SOC 2 Type II or HITRUST</v>
      </c>
      <c r="L7" s="10" t="str">
        <f aca="false">IF(D7="","",IF(D7&gt;0,"Yes","No"))</f>
        <v>Yes</v>
      </c>
    </row>
    <row r="8" customFormat="false" ht="23.85" hidden="false" customHeight="false" outlineLevel="0" collapsed="false">
      <c r="A8" s="7" t="s">
        <v>382</v>
      </c>
      <c r="B8" s="7" t="s">
        <v>383</v>
      </c>
      <c r="C8" s="7" t="s">
        <v>384</v>
      </c>
      <c r="D8" s="9" t="n">
        <v>2</v>
      </c>
      <c r="E8" s="9" t="n">
        <v>2</v>
      </c>
      <c r="F8" s="9" t="n">
        <v>3</v>
      </c>
      <c r="G8" s="9" t="n">
        <v>3</v>
      </c>
      <c r="H8" s="12" t="n">
        <f aca="false">IF(COUNT(D8:G8)=0,"",SUM(D8:G8))</f>
        <v>10</v>
      </c>
      <c r="I8" s="9" t="s">
        <v>381</v>
      </c>
      <c r="J8" s="13" t="str">
        <f aca="false">IF(H8="","",IF(I8="Yes","Critical",IF(H8&gt;='Start Here'!$A$42,"Critical",IF(H8&gt;='Start Here'!$A$43,"High",IF(H8&gt;='Start Here'!$A$44,"Medium","Low")))))</f>
        <v>Critical</v>
      </c>
      <c r="K8" s="7" t="str">
        <f aca="false">IF(J8="","",INDEX('Start Here'!$C$42:$C$45,MATCH(J8,'Start Here'!$B$42:$B$45,0)))</f>
        <v>Continuous monitoring + annual on-site/virtual audit + SOC 2 Type II or HITRUST</v>
      </c>
      <c r="L8" s="10" t="str">
        <f aca="false">IF(D8="","",IF(D8&gt;0,"Yes","No"))</f>
        <v>Yes</v>
      </c>
    </row>
    <row r="9" customFormat="false" ht="15" hidden="false" customHeight="false" outlineLevel="0" collapsed="false">
      <c r="A9" s="7" t="s">
        <v>385</v>
      </c>
      <c r="B9" s="7" t="s">
        <v>386</v>
      </c>
      <c r="C9" s="7" t="s">
        <v>387</v>
      </c>
      <c r="D9" s="9" t="n">
        <v>2</v>
      </c>
      <c r="E9" s="9" t="n">
        <v>2</v>
      </c>
      <c r="F9" s="9" t="n">
        <v>2</v>
      </c>
      <c r="G9" s="9" t="n">
        <v>3</v>
      </c>
      <c r="H9" s="12" t="n">
        <f aca="false">IF(COUNT(D9:G9)=0,"",SUM(D9:G9))</f>
        <v>9</v>
      </c>
      <c r="I9" s="9" t="s">
        <v>381</v>
      </c>
      <c r="J9" s="13" t="str">
        <f aca="false">IF(H9="","",IF(I9="Yes","Critical",IF(H9&gt;='Start Here'!$A$42,"Critical",IF(H9&gt;='Start Here'!$A$43,"High",IF(H9&gt;='Start Here'!$A$44,"Medium","Low")))))</f>
        <v>High</v>
      </c>
      <c r="K9" s="7" t="str">
        <f aca="false">IF(J9="","",INDEX('Start Here'!$C$42:$C$45,MATCH(J9,'Start Here'!$B$42:$B$45,0)))</f>
        <v>Continuous monitoring + annual evidence review</v>
      </c>
      <c r="L9" s="10" t="str">
        <f aca="false">IF(D9="","",IF(D9&gt;0,"Yes","No"))</f>
        <v>Yes</v>
      </c>
    </row>
    <row r="10" customFormat="false" ht="23.85" hidden="false" customHeight="false" outlineLevel="0" collapsed="false">
      <c r="A10" s="7" t="s">
        <v>388</v>
      </c>
      <c r="B10" s="7" t="s">
        <v>389</v>
      </c>
      <c r="C10" s="7" t="s">
        <v>390</v>
      </c>
      <c r="D10" s="9" t="n">
        <v>1</v>
      </c>
      <c r="E10" s="9" t="n">
        <v>2</v>
      </c>
      <c r="F10" s="9" t="n">
        <v>3</v>
      </c>
      <c r="G10" s="9" t="n">
        <v>3</v>
      </c>
      <c r="H10" s="12" t="n">
        <f aca="false">IF(COUNT(D10:G10)=0,"",SUM(D10:G10))</f>
        <v>9</v>
      </c>
      <c r="I10" s="9" t="s">
        <v>381</v>
      </c>
      <c r="J10" s="13" t="str">
        <f aca="false">IF(H10="","",IF(I10="Yes","Critical",IF(H10&gt;='Start Here'!$A$42,"Critical",IF(H10&gt;='Start Here'!$A$43,"High",IF(H10&gt;='Start Here'!$A$44,"Medium","Low")))))</f>
        <v>High</v>
      </c>
      <c r="K10" s="7" t="str">
        <f aca="false">IF(J10="","",INDEX('Start Here'!$C$42:$C$45,MATCH(J10,'Start Here'!$B$42:$B$45,0)))</f>
        <v>Continuous monitoring + annual evidence review</v>
      </c>
      <c r="L10" s="10" t="str">
        <f aca="false">IF(D10="","",IF(D10&gt;0,"Yes","No"))</f>
        <v>Yes</v>
      </c>
    </row>
    <row r="11" customFormat="false" ht="15" hidden="false" customHeight="false" outlineLevel="0" collapsed="false">
      <c r="A11" s="7" t="s">
        <v>391</v>
      </c>
      <c r="B11" s="7" t="s">
        <v>392</v>
      </c>
      <c r="C11" s="7" t="s">
        <v>393</v>
      </c>
      <c r="D11" s="9" t="n">
        <v>3</v>
      </c>
      <c r="E11" s="9" t="n">
        <v>2</v>
      </c>
      <c r="F11" s="9" t="n">
        <v>3</v>
      </c>
      <c r="G11" s="9" t="n">
        <v>1</v>
      </c>
      <c r="H11" s="12" t="n">
        <f aca="false">IF(COUNT(D11:G11)=0,"",SUM(D11:G11))</f>
        <v>9</v>
      </c>
      <c r="I11" s="9" t="s">
        <v>381</v>
      </c>
      <c r="J11" s="13" t="str">
        <f aca="false">IF(H11="","",IF(I11="Yes","Critical",IF(H11&gt;='Start Here'!$A$42,"Critical",IF(H11&gt;='Start Here'!$A$43,"High",IF(H11&gt;='Start Here'!$A$44,"Medium","Low")))))</f>
        <v>High</v>
      </c>
      <c r="K11" s="7" t="str">
        <f aca="false">IF(J11="","",INDEX('Start Here'!$C$42:$C$45,MATCH(J11,'Start Here'!$B$42:$B$45,0)))</f>
        <v>Continuous monitoring + annual evidence review</v>
      </c>
      <c r="L11" s="10" t="str">
        <f aca="false">IF(D11="","",IF(D11&gt;0,"Yes","No"))</f>
        <v>Yes</v>
      </c>
    </row>
    <row r="12" customFormat="false" ht="15" hidden="false" customHeight="false" outlineLevel="0" collapsed="false">
      <c r="A12" s="7" t="s">
        <v>394</v>
      </c>
      <c r="B12" s="7" t="s">
        <v>395</v>
      </c>
      <c r="C12" s="7" t="s">
        <v>396</v>
      </c>
      <c r="D12" s="9" t="n">
        <v>0</v>
      </c>
      <c r="E12" s="9" t="n">
        <v>2</v>
      </c>
      <c r="F12" s="9" t="n">
        <v>2</v>
      </c>
      <c r="G12" s="9" t="n">
        <v>3</v>
      </c>
      <c r="H12" s="12" t="n">
        <f aca="false">IF(COUNT(D12:G12)=0,"",SUM(D12:G12))</f>
        <v>7</v>
      </c>
      <c r="I12" s="9" t="s">
        <v>381</v>
      </c>
      <c r="J12" s="13" t="str">
        <f aca="false">IF(H12="","",IF(I12="Yes","Critical",IF(H12&gt;='Start Here'!$A$42,"Critical",IF(H12&gt;='Start Here'!$A$43,"High",IF(H12&gt;='Start Here'!$A$44,"Medium","Low")))))</f>
        <v>High</v>
      </c>
      <c r="K12" s="7" t="str">
        <f aca="false">IF(J12="","",INDEX('Start Here'!$C$42:$C$45,MATCH(J12,'Start Here'!$B$42:$B$45,0)))</f>
        <v>Continuous monitoring + annual evidence review</v>
      </c>
      <c r="L12" s="10" t="str">
        <f aca="false">IF(D12="","",IF(D12&gt;0,"Yes","No"))</f>
        <v>No</v>
      </c>
    </row>
    <row r="13" customFormat="false" ht="23.85" hidden="false" customHeight="false" outlineLevel="0" collapsed="false">
      <c r="A13" s="7" t="s">
        <v>397</v>
      </c>
      <c r="B13" s="7" t="s">
        <v>398</v>
      </c>
      <c r="C13" s="7" t="s">
        <v>399</v>
      </c>
      <c r="D13" s="9" t="n">
        <v>3</v>
      </c>
      <c r="E13" s="9" t="n">
        <v>1</v>
      </c>
      <c r="F13" s="9" t="n">
        <v>1</v>
      </c>
      <c r="G13" s="9" t="n">
        <v>1</v>
      </c>
      <c r="H13" s="12" t="n">
        <f aca="false">IF(COUNT(D13:G13)=0,"",SUM(D13:G13))</f>
        <v>6</v>
      </c>
      <c r="I13" s="9" t="s">
        <v>381</v>
      </c>
      <c r="J13" s="13" t="str">
        <f aca="false">IF(H13="","",IF(I13="Yes","Critical",IF(H13&gt;='Start Here'!$A$42,"Critical",IF(H13&gt;='Start Here'!$A$43,"High",IF(H13&gt;='Start Here'!$A$44,"Medium","Low")))))</f>
        <v>Medium</v>
      </c>
      <c r="K13" s="7" t="str">
        <f aca="false">IF(J13="","",INDEX('Start Here'!$C$42:$C$45,MATCH(J13,'Start Here'!$B$42:$B$45,0)))</f>
        <v>Continuous monitoring from Phase 3 + annual questionnaire</v>
      </c>
      <c r="L13" s="10" t="str">
        <f aca="false">IF(D13="","",IF(D13&gt;0,"Yes","No"))</f>
        <v>Yes</v>
      </c>
    </row>
    <row r="14" customFormat="false" ht="23.85" hidden="false" customHeight="false" outlineLevel="0" collapsed="false">
      <c r="A14" s="7" t="s">
        <v>400</v>
      </c>
      <c r="B14" s="7" t="s">
        <v>401</v>
      </c>
      <c r="C14" s="7" t="s">
        <v>402</v>
      </c>
      <c r="D14" s="9" t="n">
        <v>2</v>
      </c>
      <c r="E14" s="9" t="n">
        <v>1</v>
      </c>
      <c r="F14" s="9" t="n">
        <v>1</v>
      </c>
      <c r="G14" s="9" t="n">
        <v>0</v>
      </c>
      <c r="H14" s="12" t="n">
        <f aca="false">IF(COUNT(D14:G14)=0,"",SUM(D14:G14))</f>
        <v>4</v>
      </c>
      <c r="I14" s="9" t="s">
        <v>381</v>
      </c>
      <c r="J14" s="13" t="str">
        <f aca="false">IF(H14="","",IF(I14="Yes","Critical",IF(H14&gt;='Start Here'!$A$42,"Critical",IF(H14&gt;='Start Here'!$A$43,"High",IF(H14&gt;='Start Here'!$A$44,"Medium","Low")))))</f>
        <v>Medium</v>
      </c>
      <c r="K14" s="7" t="str">
        <f aca="false">IF(J14="","",INDEX('Start Here'!$C$42:$C$45,MATCH(J14,'Start Here'!$B$42:$B$45,0)))</f>
        <v>Continuous monitoring from Phase 3 + annual questionnaire</v>
      </c>
      <c r="L14" s="10" t="str">
        <f aca="false">IF(D14="","",IF(D14&gt;0,"Yes","No"))</f>
        <v>Yes</v>
      </c>
    </row>
    <row r="15" customFormat="false" ht="35.05" hidden="false" customHeight="false" outlineLevel="0" collapsed="false">
      <c r="A15" s="7" t="s">
        <v>403</v>
      </c>
      <c r="B15" s="7" t="s">
        <v>404</v>
      </c>
      <c r="C15" s="7" t="s">
        <v>405</v>
      </c>
      <c r="D15" s="9" t="n">
        <v>0</v>
      </c>
      <c r="E15" s="9" t="n">
        <v>0</v>
      </c>
      <c r="F15" s="9" t="n">
        <v>2</v>
      </c>
      <c r="G15" s="9" t="n">
        <v>0</v>
      </c>
      <c r="H15" s="12" t="n">
        <f aca="false">IF(COUNT(D15:G15)=0,"",SUM(D15:G15))</f>
        <v>2</v>
      </c>
      <c r="I15" s="9" t="s">
        <v>381</v>
      </c>
      <c r="J15" s="13" t="str">
        <f aca="false">IF(H15="","",IF(I15="Yes","Critical",IF(H15&gt;='Start Here'!$A$42,"Critical",IF(H15&gt;='Start Here'!$A$43,"High",IF(H15&gt;='Start Here'!$A$44,"Medium","Low")))))</f>
        <v>Low</v>
      </c>
      <c r="K15" s="7" t="str">
        <f aca="false">IF(J15="","",INDEX('Start Here'!$C$42:$C$45,MATCH(J15,'Start Here'!$B$42:$B$45,0)))</f>
        <v>Questionnaire at onboarding and renewal</v>
      </c>
      <c r="L15" s="10" t="str">
        <f aca="false">IF(D15="","",IF(D15&gt;0,"Yes","No"))</f>
        <v>No</v>
      </c>
    </row>
    <row r="16" customFormat="false" ht="15" hidden="false" customHeight="false" outlineLevel="0" collapsed="false">
      <c r="A16" s="7" t="s">
        <v>406</v>
      </c>
      <c r="B16" s="7" t="s">
        <v>407</v>
      </c>
      <c r="C16" s="7" t="s">
        <v>408</v>
      </c>
      <c r="D16" s="9" t="n">
        <v>0</v>
      </c>
      <c r="E16" s="9" t="n">
        <v>0</v>
      </c>
      <c r="F16" s="9" t="n">
        <v>1</v>
      </c>
      <c r="G16" s="9" t="n">
        <v>0</v>
      </c>
      <c r="H16" s="12" t="n">
        <f aca="false">IF(COUNT(D16:G16)=0,"",SUM(D16:G16))</f>
        <v>1</v>
      </c>
      <c r="I16" s="9" t="s">
        <v>381</v>
      </c>
      <c r="J16" s="13" t="str">
        <f aca="false">IF(H16="","",IF(I16="Yes","Critical",IF(H16&gt;='Start Here'!$A$42,"Critical",IF(H16&gt;='Start Here'!$A$43,"High",IF(H16&gt;='Start Here'!$A$44,"Medium","Low")))))</f>
        <v>Low</v>
      </c>
      <c r="K16" s="7" t="str">
        <f aca="false">IF(J16="","",INDEX('Start Here'!$C$42:$C$45,MATCH(J16,'Start Here'!$B$42:$B$45,0)))</f>
        <v>Questionnaire at onboarding and renewal</v>
      </c>
      <c r="L16" s="10" t="str">
        <f aca="false">IF(D16="","",IF(D16&gt;0,"Yes","No"))</f>
        <v>No</v>
      </c>
    </row>
    <row r="17" customFormat="false" ht="15" hidden="false" customHeight="false" outlineLevel="0" collapsed="false">
      <c r="A17" s="7" t="s">
        <v>409</v>
      </c>
      <c r="B17" s="7" t="s">
        <v>410</v>
      </c>
      <c r="C17" s="7" t="s">
        <v>411</v>
      </c>
      <c r="D17" s="9" t="n">
        <v>0</v>
      </c>
      <c r="E17" s="9" t="n">
        <v>0</v>
      </c>
      <c r="F17" s="9" t="n">
        <v>1</v>
      </c>
      <c r="G17" s="9" t="n">
        <v>0</v>
      </c>
      <c r="H17" s="12" t="n">
        <f aca="false">IF(COUNT(D17:G17)=0,"",SUM(D17:G17))</f>
        <v>1</v>
      </c>
      <c r="I17" s="9" t="s">
        <v>381</v>
      </c>
      <c r="J17" s="13" t="str">
        <f aca="false">IF(H17="","",IF(I17="Yes","Critical",IF(H17&gt;='Start Here'!$A$42,"Critical",IF(H17&gt;='Start Here'!$A$43,"High",IF(H17&gt;='Start Here'!$A$44,"Medium","Low")))))</f>
        <v>Low</v>
      </c>
      <c r="K17" s="7" t="str">
        <f aca="false">IF(J17="","",INDEX('Start Here'!$C$42:$C$45,MATCH(J17,'Start Here'!$B$42:$B$45,0)))</f>
        <v>Questionnaire at onboarding and renewal</v>
      </c>
      <c r="L17" s="10" t="str">
        <f aca="false">IF(D17="","",IF(D17&gt;0,"Yes","No"))</f>
        <v>No</v>
      </c>
    </row>
    <row r="18" customFormat="false" ht="15" hidden="false" customHeight="false" outlineLevel="0" collapsed="false">
      <c r="A18" s="23"/>
      <c r="B18" s="23"/>
      <c r="C18" s="23"/>
      <c r="D18" s="9"/>
      <c r="E18" s="9"/>
      <c r="F18" s="9"/>
      <c r="G18" s="9"/>
      <c r="H18" s="12" t="str">
        <f aca="false">IF(COUNT(D18:G18)=0,"",SUM(D18:G18))</f>
        <v/>
      </c>
      <c r="I18" s="9"/>
      <c r="J18" s="13" t="str">
        <f aca="false">IF(H18="","",IF(I18="Yes","Critical",IF(H18&gt;='Start Here'!$A$42,"Critical",IF(H18&gt;='Start Here'!$A$43,"High",IF(H18&gt;='Start Here'!$A$44,"Medium","Low")))))</f>
        <v/>
      </c>
      <c r="K18" s="7" t="str">
        <f aca="false">IF(J18="","",INDEX('Start Here'!$C$42:$C$45,MATCH(J18,'Start Here'!$B$42:$B$45,0)))</f>
        <v/>
      </c>
      <c r="L18" s="10" t="str">
        <f aca="false">IF(D18="","",IF(D18&gt;0,"Yes","No"))</f>
        <v/>
      </c>
    </row>
    <row r="19" customFormat="false" ht="15" hidden="false" customHeight="false" outlineLevel="0" collapsed="false">
      <c r="A19" s="23"/>
      <c r="B19" s="23"/>
      <c r="C19" s="23"/>
      <c r="D19" s="9"/>
      <c r="E19" s="9"/>
      <c r="F19" s="9"/>
      <c r="G19" s="9"/>
      <c r="H19" s="12" t="str">
        <f aca="false">IF(COUNT(D19:G19)=0,"",SUM(D19:G19))</f>
        <v/>
      </c>
      <c r="I19" s="9"/>
      <c r="J19" s="13" t="str">
        <f aca="false">IF(H19="","",IF(I19="Yes","Critical",IF(H19&gt;='Start Here'!$A$42,"Critical",IF(H19&gt;='Start Here'!$A$43,"High",IF(H19&gt;='Start Here'!$A$44,"Medium","Low")))))</f>
        <v/>
      </c>
      <c r="K19" s="7" t="str">
        <f aca="false">IF(J19="","",INDEX('Start Here'!$C$42:$C$45,MATCH(J19,'Start Here'!$B$42:$B$45,0)))</f>
        <v/>
      </c>
      <c r="L19" s="10" t="str">
        <f aca="false">IF(D19="","",IF(D19&gt;0,"Yes","No"))</f>
        <v/>
      </c>
    </row>
    <row r="20" customFormat="false" ht="15" hidden="false" customHeight="false" outlineLevel="0" collapsed="false">
      <c r="A20" s="23"/>
      <c r="B20" s="23"/>
      <c r="C20" s="23"/>
      <c r="D20" s="9"/>
      <c r="E20" s="9"/>
      <c r="F20" s="9"/>
      <c r="G20" s="9"/>
      <c r="H20" s="12" t="str">
        <f aca="false">IF(COUNT(D20:G20)=0,"",SUM(D20:G20))</f>
        <v/>
      </c>
      <c r="I20" s="9"/>
      <c r="J20" s="13" t="str">
        <f aca="false">IF(H20="","",IF(I20="Yes","Critical",IF(H20&gt;='Start Here'!$A$42,"Critical",IF(H20&gt;='Start Here'!$A$43,"High",IF(H20&gt;='Start Here'!$A$44,"Medium","Low")))))</f>
        <v/>
      </c>
      <c r="K20" s="7" t="str">
        <f aca="false">IF(J20="","",INDEX('Start Here'!$C$42:$C$45,MATCH(J20,'Start Here'!$B$42:$B$45,0)))</f>
        <v/>
      </c>
      <c r="L20" s="10" t="str">
        <f aca="false">IF(D20="","",IF(D20&gt;0,"Yes","No"))</f>
        <v/>
      </c>
    </row>
    <row r="21" customFormat="false" ht="15" hidden="false" customHeight="false" outlineLevel="0" collapsed="false">
      <c r="A21" s="23"/>
      <c r="B21" s="23"/>
      <c r="C21" s="23"/>
      <c r="D21" s="9"/>
      <c r="E21" s="9"/>
      <c r="F21" s="9"/>
      <c r="G21" s="9"/>
      <c r="H21" s="12" t="str">
        <f aca="false">IF(COUNT(D21:G21)=0,"",SUM(D21:G21))</f>
        <v/>
      </c>
      <c r="I21" s="9"/>
      <c r="J21" s="13" t="str">
        <f aca="false">IF(H21="","",IF(I21="Yes","Critical",IF(H21&gt;='Start Here'!$A$42,"Critical",IF(H21&gt;='Start Here'!$A$43,"High",IF(H21&gt;='Start Here'!$A$44,"Medium","Low")))))</f>
        <v/>
      </c>
      <c r="K21" s="7" t="str">
        <f aca="false">IF(J21="","",INDEX('Start Here'!$C$42:$C$45,MATCH(J21,'Start Here'!$B$42:$B$45,0)))</f>
        <v/>
      </c>
      <c r="L21" s="10" t="str">
        <f aca="false">IF(D21="","",IF(D21&gt;0,"Yes","No"))</f>
        <v/>
      </c>
    </row>
    <row r="22" customFormat="false" ht="15" hidden="false" customHeight="false" outlineLevel="0" collapsed="false">
      <c r="A22" s="23"/>
      <c r="B22" s="23"/>
      <c r="C22" s="23"/>
      <c r="D22" s="9"/>
      <c r="E22" s="9"/>
      <c r="F22" s="9"/>
      <c r="G22" s="9"/>
      <c r="H22" s="12" t="str">
        <f aca="false">IF(COUNT(D22:G22)=0,"",SUM(D22:G22))</f>
        <v/>
      </c>
      <c r="I22" s="9"/>
      <c r="J22" s="13" t="str">
        <f aca="false">IF(H22="","",IF(I22="Yes","Critical",IF(H22&gt;='Start Here'!$A$42,"Critical",IF(H22&gt;='Start Here'!$A$43,"High",IF(H22&gt;='Start Here'!$A$44,"Medium","Low")))))</f>
        <v/>
      </c>
      <c r="K22" s="7" t="str">
        <f aca="false">IF(J22="","",INDEX('Start Here'!$C$42:$C$45,MATCH(J22,'Start Here'!$B$42:$B$45,0)))</f>
        <v/>
      </c>
      <c r="L22" s="10" t="str">
        <f aca="false">IF(D22="","",IF(D22&gt;0,"Yes","No"))</f>
        <v/>
      </c>
    </row>
    <row r="24" customFormat="false" ht="15" hidden="false" customHeight="false" outlineLevel="0" collapsed="false">
      <c r="A24" s="3" t="s">
        <v>412</v>
      </c>
    </row>
    <row r="25" customFormat="false" ht="15" hidden="false" customHeight="false" outlineLevel="0" collapsed="false">
      <c r="A25" s="14" t="s">
        <v>45</v>
      </c>
      <c r="B25" s="2" t="n">
        <f aca="false">COUNTIF($J$5:$J$22,A25)</f>
        <v>4</v>
      </c>
    </row>
    <row r="26" customFormat="false" ht="15" hidden="false" customHeight="false" outlineLevel="0" collapsed="false">
      <c r="A26" s="14" t="s">
        <v>47</v>
      </c>
      <c r="B26" s="2" t="n">
        <f aca="false">COUNTIF($J$5:$J$22,A26)</f>
        <v>4</v>
      </c>
    </row>
    <row r="27" customFormat="false" ht="15" hidden="false" customHeight="false" outlineLevel="0" collapsed="false">
      <c r="A27" s="14" t="s">
        <v>49</v>
      </c>
      <c r="B27" s="2" t="n">
        <f aca="false">COUNTIF($J$5:$J$22,A27)</f>
        <v>2</v>
      </c>
    </row>
    <row r="28" customFormat="false" ht="15" hidden="false" customHeight="false" outlineLevel="0" collapsed="false">
      <c r="A28" s="14" t="s">
        <v>51</v>
      </c>
      <c r="B28" s="2" t="n">
        <f aca="false">COUNTIF($J$5:$J$22,A28)</f>
        <v>3</v>
      </c>
    </row>
  </sheetData>
  <conditionalFormatting sqref="J5:J22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A25:A28">
    <cfRule type="cellIs" priority="6" operator="equal" aboveAverage="0" equalAverage="0" bottom="0" percent="0" rank="0" text="" dxfId="0">
      <formula>"Critical"</formula>
    </cfRule>
    <cfRule type="cellIs" priority="7" operator="equal" aboveAverage="0" equalAverage="0" bottom="0" percent="0" rank="0" text="" dxfId="1">
      <formula>"High"</formula>
    </cfRule>
    <cfRule type="cellIs" priority="8" operator="equal" aboveAverage="0" equalAverage="0" bottom="0" percent="0" rank="0" text="" dxfId="2">
      <formula>"Medium"</formula>
    </cfRule>
    <cfRule type="cellIs" priority="9" operator="equal" aboveAverage="0" equalAverage="0" bottom="0" percent="0" rank="0" text="" dxfId="3">
      <formula>"Low"</formula>
    </cfRule>
  </conditionalFormatting>
  <dataValidations count="2">
    <dataValidation allowBlank="false" error="Enter a whole number from 0 to 3" errorStyle="stop" operator="between" showDropDown="false" showErrorMessage="true" showInputMessage="false" sqref="D5:G22" type="whole">
      <formula1>0</formula1>
      <formula2>3</formula2>
    </dataValidation>
    <dataValidation allowBlank="false" errorStyle="stop" operator="between" showDropDown="false" showErrorMessage="false" showInputMessage="false" sqref="I5:I22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2026-10-01T14:09:35Z</dcterms:created>
  <dc:creator>openpyxl</dc:creator>
  <dc:description/>
  <dc:language>en-US</dc:language>
  <cp:lastModifiedBy/>
  <dcterms:modified xsi:type="dcterms:W3CDTF">2026-10-01T14:09:35Z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